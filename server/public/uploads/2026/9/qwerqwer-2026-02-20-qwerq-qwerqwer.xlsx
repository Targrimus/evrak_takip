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cancem\Desktop\"/>
    </mc:Choice>
  </mc:AlternateContent>
  <xr:revisionPtr revIDLastSave="0" documentId="13_ncr:1_{2BCE67D1-6F4D-4EBE-B705-AC5E0EE9DB2F}" xr6:coauthVersionLast="36" xr6:coauthVersionMax="36" xr10:uidLastSave="{00000000-0000-0000-0000-000000000000}"/>
  <bookViews>
    <workbookView xWindow="0" yWindow="0" windowWidth="23040" windowHeight="9075" firstSheet="92" activeTab="100" xr2:uid="{00000000-000D-0000-FFFF-FFFF00000000}"/>
  </bookViews>
  <sheets>
    <sheet name="18.12.2023" sheetId="1" r:id="rId1"/>
    <sheet name="25.12.2023" sheetId="2" r:id="rId2"/>
    <sheet name="02.01.2024" sheetId="3" r:id="rId3"/>
    <sheet name="08.01.2024" sheetId="4" r:id="rId4"/>
    <sheet name="15.01.2024" sheetId="5" r:id="rId5"/>
    <sheet name="22.01.2024" sheetId="6" r:id="rId6"/>
    <sheet name="29.01.2024" sheetId="7" r:id="rId7"/>
    <sheet name="05.02.2024" sheetId="8" r:id="rId8"/>
    <sheet name="12.02.2024" sheetId="9" r:id="rId9"/>
    <sheet name="19.02.2024" sheetId="10" r:id="rId10"/>
    <sheet name="26.02.2024" sheetId="11" r:id="rId11"/>
    <sheet name="04.03.2024" sheetId="12" r:id="rId12"/>
    <sheet name="11.03.2024" sheetId="13" r:id="rId13"/>
    <sheet name="18.03.2024" sheetId="14" r:id="rId14"/>
    <sheet name="25.03.2024" sheetId="15" r:id="rId15"/>
    <sheet name="01.04.2024" sheetId="16" r:id="rId16"/>
    <sheet name="08.04.2024" sheetId="17" r:id="rId17"/>
    <sheet name="15.04.2024" sheetId="18" r:id="rId18"/>
    <sheet name="22.04.2024" sheetId="19" r:id="rId19"/>
    <sheet name="29.04.2024" sheetId="20" r:id="rId20"/>
    <sheet name="06.05.2024" sheetId="21" r:id="rId21"/>
    <sheet name="13.05.2024" sheetId="22" r:id="rId22"/>
    <sheet name="20.05.2024" sheetId="23" r:id="rId23"/>
    <sheet name="27.05.2024" sheetId="24" r:id="rId24"/>
    <sheet name="03.06.2024" sheetId="25" r:id="rId25"/>
    <sheet name="10.06.2024" sheetId="26" r:id="rId26"/>
    <sheet name="24.06.2024" sheetId="27" r:id="rId27"/>
    <sheet name="01.07.2024" sheetId="28" r:id="rId28"/>
    <sheet name="08.07.2024" sheetId="29" r:id="rId29"/>
    <sheet name="16.07.2024" sheetId="30" r:id="rId30"/>
    <sheet name="22.07.2024" sheetId="31" r:id="rId31"/>
    <sheet name="29.07.2024" sheetId="32" r:id="rId32"/>
    <sheet name="05.08.2024" sheetId="33" r:id="rId33"/>
    <sheet name="12.08.2024" sheetId="34" r:id="rId34"/>
    <sheet name="19.08.2024" sheetId="35" r:id="rId35"/>
    <sheet name="26.08.2024" sheetId="36" r:id="rId36"/>
    <sheet name="23.09.2024" sheetId="37" r:id="rId37"/>
    <sheet name="30.09.2024" sheetId="38" r:id="rId38"/>
    <sheet name="07.10.2024" sheetId="39" r:id="rId39"/>
    <sheet name="14.10.2024" sheetId="40" r:id="rId40"/>
    <sheet name="21.10.2024" sheetId="41" r:id="rId41"/>
    <sheet name="28.10.2024" sheetId="42" r:id="rId42"/>
    <sheet name="04.11.2024" sheetId="43" r:id="rId43"/>
    <sheet name="11.11.2024" sheetId="44" r:id="rId44"/>
    <sheet name="18.11.2024" sheetId="45" r:id="rId45"/>
    <sheet name="25.11.2024" sheetId="46" r:id="rId46"/>
    <sheet name="02.12.2024" sheetId="47" r:id="rId47"/>
    <sheet name="30.12.2024" sheetId="48" r:id="rId48"/>
    <sheet name="06.01.2025" sheetId="49" r:id="rId49"/>
    <sheet name="13.01.2025" sheetId="50" r:id="rId50"/>
    <sheet name="20.01.2025" sheetId="51" r:id="rId51"/>
    <sheet name="27.01.2025" sheetId="52" r:id="rId52"/>
    <sheet name="03.02.2025" sheetId="53" r:id="rId53"/>
    <sheet name="10.02.2025" sheetId="54" r:id="rId54"/>
    <sheet name="17.02.2025" sheetId="55" r:id="rId55"/>
    <sheet name="24.02.2025" sheetId="56" r:id="rId56"/>
    <sheet name="03.03.2025" sheetId="57" r:id="rId57"/>
    <sheet name="10.03.2025" sheetId="58" r:id="rId58"/>
    <sheet name="17.03.2025" sheetId="59" r:id="rId59"/>
    <sheet name="24.03.2025" sheetId="60" r:id="rId60"/>
    <sheet name="02.04.2025" sheetId="61" r:id="rId61"/>
    <sheet name="07.04.2025" sheetId="62" r:id="rId62"/>
    <sheet name="14.04.2025" sheetId="63" r:id="rId63"/>
    <sheet name="21.04.2025" sheetId="64" r:id="rId64"/>
    <sheet name="28.04.2025" sheetId="65" r:id="rId65"/>
    <sheet name="05.05.2025" sheetId="66" r:id="rId66"/>
    <sheet name="12.05.2025" sheetId="67" r:id="rId67"/>
    <sheet name="19.05.2025" sheetId="68" r:id="rId68"/>
    <sheet name="26.05.2025" sheetId="69" r:id="rId69"/>
    <sheet name="01.06.2025" sheetId="70" r:id="rId70"/>
    <sheet name="09.06.2025" sheetId="71" r:id="rId71"/>
    <sheet name="16.06.2025" sheetId="72" r:id="rId72"/>
    <sheet name="23.06.2025" sheetId="73" r:id="rId73"/>
    <sheet name="30.06.2025" sheetId="74" r:id="rId74"/>
    <sheet name="07.07.2025" sheetId="75" r:id="rId75"/>
    <sheet name="14.07.2025" sheetId="76" r:id="rId76"/>
    <sheet name="21.07.2025" sheetId="77" r:id="rId77"/>
    <sheet name="27.07.2025" sheetId="78" r:id="rId78"/>
    <sheet name="04.08.2025" sheetId="79" r:id="rId79"/>
    <sheet name="11.08.2025" sheetId="80" r:id="rId80"/>
    <sheet name="18.08.2025" sheetId="81" r:id="rId81"/>
    <sheet name="01.09.2025" sheetId="82" r:id="rId82"/>
    <sheet name="08.09.2025" sheetId="83" r:id="rId83"/>
    <sheet name="15.09.2025" sheetId="84" r:id="rId84"/>
    <sheet name="22.09.2025" sheetId="85" r:id="rId85"/>
    <sheet name="29.09.2025" sheetId="86" r:id="rId86"/>
    <sheet name="06.10.2025" sheetId="87" r:id="rId87"/>
    <sheet name="13.10.2025" sheetId="88" r:id="rId88"/>
    <sheet name="20.10.2025" sheetId="89" r:id="rId89"/>
    <sheet name="27.10.2025" sheetId="90" r:id="rId90"/>
    <sheet name="03.11.2025" sheetId="91" r:id="rId91"/>
    <sheet name="10.11.2025" sheetId="92" r:id="rId92"/>
    <sheet name="17.11.2025" sheetId="93" r:id="rId93"/>
    <sheet name="24.11.2025" sheetId="94" r:id="rId94"/>
    <sheet name="01.12.2025" sheetId="95" r:id="rId95"/>
    <sheet name="08.12.2025" sheetId="96" r:id="rId96"/>
    <sheet name="15.12.2025" sheetId="97" r:id="rId97"/>
    <sheet name="22.12.2025" sheetId="98" r:id="rId98"/>
    <sheet name="29.12.2025" sheetId="99" r:id="rId99"/>
    <sheet name="04.01.2026" sheetId="100" r:id="rId100"/>
    <sheet name="01.02.2026" sheetId="101" r:id="rId10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101" l="1"/>
  <c r="U16" i="101"/>
  <c r="T16" i="101"/>
  <c r="S16" i="101"/>
  <c r="R16" i="101"/>
  <c r="Q16" i="101"/>
  <c r="P16" i="101"/>
  <c r="O16" i="101"/>
  <c r="N16" i="101"/>
  <c r="M16" i="101"/>
  <c r="L16" i="101"/>
  <c r="K16" i="101"/>
  <c r="J16" i="101"/>
  <c r="I16" i="101"/>
  <c r="H16" i="101"/>
  <c r="G16" i="101"/>
  <c r="F16" i="101"/>
  <c r="E16" i="101"/>
  <c r="D16" i="101"/>
  <c r="C16" i="101"/>
  <c r="V16" i="100" l="1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H16" i="100"/>
  <c r="G16" i="100"/>
  <c r="F16" i="100"/>
  <c r="E16" i="100"/>
  <c r="D16" i="100"/>
  <c r="C16" i="100"/>
  <c r="V16" i="99" l="1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V16" i="98" l="1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C16" i="98"/>
  <c r="V16" i="97" l="1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G16" i="97"/>
  <c r="F16" i="97"/>
  <c r="E16" i="97"/>
  <c r="D16" i="97"/>
  <c r="C16" i="97"/>
  <c r="V16" i="96" l="1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C16" i="96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G16" i="95"/>
  <c r="F16" i="95"/>
  <c r="E16" i="95"/>
  <c r="D16" i="95"/>
  <c r="C16" i="95"/>
  <c r="V16" i="94" l="1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G16" i="94"/>
  <c r="F16" i="94"/>
  <c r="E16" i="94"/>
  <c r="D16" i="94"/>
  <c r="C16" i="94"/>
  <c r="V16" i="93" l="1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C16" i="93"/>
  <c r="V16" i="92" l="1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16" i="92"/>
  <c r="F16" i="92"/>
  <c r="E16" i="92"/>
  <c r="D16" i="92"/>
  <c r="C16" i="92"/>
  <c r="V16" i="91" l="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V16" i="90" l="1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V16" i="89" l="1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V16" i="88" l="1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V16" i="87" l="1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G16" i="87"/>
  <c r="F16" i="87"/>
  <c r="E16" i="87"/>
  <c r="D16" i="87"/>
  <c r="C16" i="87"/>
  <c r="V16" i="86" l="1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V16" i="85" l="1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D16" i="85"/>
  <c r="C16" i="85"/>
  <c r="V16" i="84" l="1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V16" i="83" l="1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V16" i="82" l="1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V16" i="81" l="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V16" i="80" l="1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V16" i="79" l="1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G16" i="79"/>
  <c r="F16" i="79"/>
  <c r="E16" i="79"/>
  <c r="D16" i="79"/>
  <c r="C16" i="79"/>
  <c r="V16" i="78" l="1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V16" i="77" l="1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V16" i="76" l="1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V16" i="75" l="1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V16" i="74" l="1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V16" i="73" l="1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V16" i="72" l="1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V16" i="71" l="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V16" i="70" l="1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V16" i="69" l="1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V16" i="68" l="1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V16" i="67" l="1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V16" i="66" l="1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V16" i="65" l="1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V16" i="64" l="1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V16" i="63" l="1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V16" i="62" l="1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V16" i="61" l="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V16" i="60" l="1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V16" i="59" l="1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V16" i="58" l="1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6" i="57" l="1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V16" i="56" l="1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V16" i="55" l="1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V16" i="54" l="1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V16" i="53" l="1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V16" i="52" l="1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V16" i="51" l="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V16" i="50" l="1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V16" i="49" l="1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V16" i="48" l="1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V16" i="47" l="1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V16" i="46" l="1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V16" i="45" l="1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V16" i="44" l="1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V16" i="43" l="1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V16" i="42" l="1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V16" i="41" l="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V16" i="40" l="1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V16" i="39" l="1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V16" i="38" l="1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V16" i="37" l="1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V16" i="36" l="1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C16" i="35" l="1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V16" i="34" l="1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V16" i="32" l="1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V16" i="31" l="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V16" i="30" l="1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V16" i="29" l="1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V16" i="28" l="1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V16" i="27" l="1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V16" i="26" l="1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V16" i="25" l="1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V16" i="24" l="1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V16" i="23" l="1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V16" i="22" l="1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V16" i="21" l="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V16" i="20" l="1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V16" i="19" l="1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V16" i="18" l="1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V16" i="17" l="1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V16" i="16" l="1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V16" i="15" l="1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V17" i="14" l="1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V16" i="13" l="1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V16" i="12" l="1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V16" i="11" l="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V16" i="10" l="1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V16" i="9" l="1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D16" i="1" l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C16" i="1"/>
</calcChain>
</file>

<file path=xl/sharedStrings.xml><?xml version="1.0" encoding="utf-8"?>
<sst xmlns="http://schemas.openxmlformats.org/spreadsheetml/2006/main" count="3880" uniqueCount="39">
  <si>
    <t>Tarih</t>
  </si>
  <si>
    <t>G4</t>
  </si>
  <si>
    <t>G6</t>
  </si>
  <si>
    <t>G10</t>
  </si>
  <si>
    <t>G16</t>
  </si>
  <si>
    <t>G25</t>
  </si>
  <si>
    <t>G40</t>
  </si>
  <si>
    <t>G65</t>
  </si>
  <si>
    <t>G100</t>
  </si>
  <si>
    <t>G160</t>
  </si>
  <si>
    <t>G250</t>
  </si>
  <si>
    <t>21mbar</t>
  </si>
  <si>
    <t>300mbar</t>
  </si>
  <si>
    <t>25m3/h</t>
  </si>
  <si>
    <t>50m3/h</t>
  </si>
  <si>
    <t>75m3/h</t>
  </si>
  <si>
    <t>100m3/h</t>
  </si>
  <si>
    <t>45m3/h</t>
  </si>
  <si>
    <t>120m3/h</t>
  </si>
  <si>
    <t>145m3/h</t>
  </si>
  <si>
    <t>REGÜLATÖR</t>
  </si>
  <si>
    <t>SAYAÇ</t>
  </si>
  <si>
    <t>ŞUBE</t>
  </si>
  <si>
    <t>YENİCE</t>
  </si>
  <si>
    <t>ÇAN</t>
  </si>
  <si>
    <t>KARABİGA</t>
  </si>
  <si>
    <t>BİGA</t>
  </si>
  <si>
    <t>TOPLAM</t>
  </si>
  <si>
    <t>ÇANAKKALE</t>
  </si>
  <si>
    <t>EZİNE</t>
  </si>
  <si>
    <t>GEYİKLİ</t>
  </si>
  <si>
    <t>AYVACIK</t>
  </si>
  <si>
    <t>BAYRAMİÇ</t>
  </si>
  <si>
    <t>GÖNEN</t>
  </si>
  <si>
    <t>LAPSEKİ</t>
  </si>
  <si>
    <t>GELİBOLU</t>
  </si>
  <si>
    <t>C</t>
  </si>
  <si>
    <t>22.09.20255</t>
  </si>
  <si>
    <t>22.09.20256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</si>
</sst>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733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4AFF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0" fontId="3" fillId="0" borderId="1" xfId="0" applyFont="1" applyFill="1" applyBorder="1" applyAlignment="1">
      <alignment vertical="center" wrapText="1"/>
    </xf>
    <xf numFmtId="0" fontId="2" fillId="0" borderId="0" xfId="0" applyFont="1"/>
    <xf numFmtId="0" fontId="4" fillId="0" borderId="1" xfId="0" applyFont="1" applyFill="1" applyBorder="1" applyAlignment="1">
      <alignment vertical="center" wrapText="1"/>
    </xf>
    <xf numFmtId="14" fontId="5" fillId="0" borderId="1" xfId="0" applyNumberFormat="1" applyFont="1" applyBorder="1"/>
    <xf numFmtId="0" fontId="6" fillId="0" borderId="1" xfId="0" applyFont="1" applyBorder="1"/>
    <xf numFmtId="0" fontId="4" fillId="0" borderId="8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2" fillId="0" borderId="0" xfId="0" applyNumberFormat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zoomScale="85" zoomScaleNormal="85" workbookViewId="0">
      <selection activeCell="D20" sqref="D20"/>
    </sheetView>
  </sheetViews>
  <sheetFormatPr defaultColWidth="10.875" defaultRowHeight="14.3" x14ac:dyDescent="0.25"/>
  <cols>
    <col min="1" max="1" width="13.875" customWidth="1"/>
    <col min="2" max="2" width="11.87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4.95" customHeight="1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4.95" customHeight="1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4.95" customHeight="1" x14ac:dyDescent="0.35">
      <c r="A9" s="6" t="s">
        <v>24</v>
      </c>
      <c r="B9" s="2">
        <v>45278</v>
      </c>
      <c r="C9" s="5">
        <v>41</v>
      </c>
      <c r="D9" s="5"/>
      <c r="E9" s="5"/>
      <c r="F9" s="5"/>
      <c r="G9" s="5"/>
      <c r="H9" s="5"/>
      <c r="I9" s="5"/>
      <c r="J9" s="5"/>
      <c r="K9" s="5"/>
      <c r="L9" s="5"/>
      <c r="M9" s="5">
        <v>19</v>
      </c>
      <c r="N9" s="5">
        <v>3</v>
      </c>
      <c r="O9" s="5"/>
      <c r="P9" s="5"/>
      <c r="Q9" s="5"/>
      <c r="R9" s="5">
        <v>3</v>
      </c>
      <c r="S9" s="5"/>
      <c r="T9" s="5"/>
      <c r="U9" s="5"/>
      <c r="V9" s="5"/>
    </row>
    <row r="10" spans="1:22" ht="14.95" customHeight="1" x14ac:dyDescent="0.35">
      <c r="A10" s="6" t="s">
        <v>23</v>
      </c>
      <c r="B10" s="2">
        <v>45278</v>
      </c>
      <c r="C10" s="5">
        <v>40</v>
      </c>
      <c r="D10" s="5"/>
      <c r="E10" s="5"/>
      <c r="F10" s="5">
        <v>1</v>
      </c>
      <c r="G10" s="5"/>
      <c r="H10" s="5"/>
      <c r="I10" s="5"/>
      <c r="J10" s="5"/>
      <c r="K10" s="5"/>
      <c r="L10" s="5"/>
      <c r="M10" s="5">
        <v>9</v>
      </c>
      <c r="N10" s="5"/>
      <c r="O10" s="5"/>
      <c r="P10" s="5"/>
      <c r="Q10" s="5"/>
      <c r="R10" s="5"/>
      <c r="S10" s="5"/>
      <c r="T10" s="5"/>
      <c r="U10" s="5"/>
      <c r="V10" s="5"/>
    </row>
    <row r="11" spans="1:22" ht="14.95" customHeight="1" x14ac:dyDescent="0.35">
      <c r="A11" s="6" t="s">
        <v>26</v>
      </c>
      <c r="B11" s="2">
        <v>45278</v>
      </c>
      <c r="C11" s="5">
        <v>235</v>
      </c>
      <c r="D11" s="5">
        <v>1</v>
      </c>
      <c r="E11" s="5">
        <v>12</v>
      </c>
      <c r="F11" s="5">
        <v>48</v>
      </c>
      <c r="G11" s="5">
        <v>10</v>
      </c>
      <c r="H11" s="5"/>
      <c r="I11" s="5"/>
      <c r="J11" s="5"/>
      <c r="K11" s="5"/>
      <c r="L11" s="5"/>
      <c r="M11" s="5">
        <v>85</v>
      </c>
      <c r="N11" s="5">
        <v>22</v>
      </c>
      <c r="O11" s="5"/>
      <c r="P11" s="5">
        <v>4</v>
      </c>
      <c r="Q11" s="5"/>
      <c r="R11" s="5">
        <v>1</v>
      </c>
      <c r="S11" s="5">
        <v>3</v>
      </c>
      <c r="T11" s="5"/>
      <c r="U11" s="5"/>
      <c r="V11" s="5">
        <v>2</v>
      </c>
    </row>
    <row r="12" spans="1:22" ht="14.95" customHeight="1" x14ac:dyDescent="0.35">
      <c r="A12" s="6" t="s">
        <v>25</v>
      </c>
      <c r="B12" s="2">
        <v>45278</v>
      </c>
      <c r="C12" s="5">
        <v>51</v>
      </c>
      <c r="D12" s="5"/>
      <c r="E12" s="5"/>
      <c r="F12" s="5">
        <v>1</v>
      </c>
      <c r="G12" s="5"/>
      <c r="H12" s="5"/>
      <c r="I12" s="5"/>
      <c r="J12" s="5"/>
      <c r="K12" s="5"/>
      <c r="L12" s="5"/>
      <c r="M12" s="5">
        <v>7</v>
      </c>
      <c r="N12" s="5">
        <v>13</v>
      </c>
      <c r="O12" s="5"/>
      <c r="P12" s="5"/>
      <c r="Q12" s="5"/>
      <c r="R12" s="5">
        <v>2</v>
      </c>
      <c r="S12" s="5"/>
      <c r="T12" s="5"/>
      <c r="U12" s="5"/>
      <c r="V12" s="5"/>
    </row>
    <row r="13" spans="1:22" ht="14.95" customHeight="1" x14ac:dyDescent="0.35">
      <c r="A13" s="6" t="s">
        <v>33</v>
      </c>
      <c r="B13" s="2">
        <v>45278</v>
      </c>
      <c r="C13" s="7">
        <v>140</v>
      </c>
      <c r="D13" s="7">
        <v>7</v>
      </c>
      <c r="E13" s="5">
        <v>1</v>
      </c>
      <c r="F13" s="5">
        <v>4</v>
      </c>
      <c r="G13" s="5">
        <v>5</v>
      </c>
      <c r="H13" s="5"/>
      <c r="I13" s="5">
        <v>1</v>
      </c>
      <c r="J13" s="5"/>
      <c r="K13" s="5"/>
      <c r="L13" s="5"/>
      <c r="M13" s="5">
        <v>147</v>
      </c>
      <c r="N13" s="5">
        <v>18</v>
      </c>
      <c r="O13" s="5"/>
      <c r="P13" s="5"/>
      <c r="Q13" s="5"/>
      <c r="R13" s="5">
        <v>7</v>
      </c>
      <c r="S13" s="5"/>
      <c r="T13" s="5"/>
      <c r="U13" s="5"/>
      <c r="V13" s="5"/>
    </row>
    <row r="14" spans="1:22" ht="14.95" customHeight="1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4.95" customHeight="1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s="4" customFormat="1" ht="16.3" x14ac:dyDescent="0.3">
      <c r="A16" s="2" t="s">
        <v>27</v>
      </c>
      <c r="B16" s="2"/>
      <c r="C16" s="3">
        <f>SUM(C4:C15)</f>
        <v>507</v>
      </c>
      <c r="D16" s="3">
        <f t="shared" ref="D16:V16" si="0">SUM(D4:D15)</f>
        <v>8</v>
      </c>
      <c r="E16" s="3">
        <f t="shared" si="0"/>
        <v>13</v>
      </c>
      <c r="F16" s="3">
        <f t="shared" si="0"/>
        <v>54</v>
      </c>
      <c r="G16" s="3">
        <f t="shared" si="0"/>
        <v>15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267</v>
      </c>
      <c r="N16" s="3">
        <f t="shared" si="0"/>
        <v>56</v>
      </c>
      <c r="O16" s="3">
        <f t="shared" si="0"/>
        <v>0</v>
      </c>
      <c r="P16" s="3">
        <f t="shared" si="0"/>
        <v>4</v>
      </c>
      <c r="Q16" s="3">
        <f t="shared" si="0"/>
        <v>0</v>
      </c>
      <c r="R16" s="3">
        <f t="shared" si="0"/>
        <v>13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M2:P2"/>
    <mergeCell ref="Q2:V2"/>
    <mergeCell ref="M1:V1"/>
    <mergeCell ref="A1:L2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zoomScale="85" zoomScaleNormal="85" workbookViewId="0">
      <selection activeCell="B9" sqref="B9:B13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45285</v>
      </c>
      <c r="C9" s="5">
        <v>30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14</v>
      </c>
      <c r="N9" s="5">
        <v>3</v>
      </c>
      <c r="O9" s="5">
        <v>0</v>
      </c>
      <c r="P9" s="5">
        <v>0</v>
      </c>
      <c r="Q9" s="5">
        <v>0</v>
      </c>
      <c r="R9" s="5">
        <v>3</v>
      </c>
      <c r="S9" s="5">
        <v>0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45285</v>
      </c>
      <c r="C10" s="5">
        <v>7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45285</v>
      </c>
      <c r="C11" s="5">
        <v>203</v>
      </c>
      <c r="D11" s="5">
        <v>1</v>
      </c>
      <c r="E11" s="5">
        <v>12</v>
      </c>
      <c r="F11" s="5">
        <v>48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63</v>
      </c>
      <c r="N11" s="5">
        <v>27</v>
      </c>
      <c r="O11" s="5">
        <v>0</v>
      </c>
      <c r="P11" s="5">
        <v>4</v>
      </c>
      <c r="Q11" s="5">
        <v>0</v>
      </c>
      <c r="R11" s="5">
        <v>0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45285</v>
      </c>
      <c r="C12" s="5">
        <v>43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19</v>
      </c>
      <c r="N12" s="5">
        <v>1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45285</v>
      </c>
      <c r="C13" s="7">
        <v>232</v>
      </c>
      <c r="D13" s="7">
        <v>5</v>
      </c>
      <c r="E13" s="5">
        <v>1</v>
      </c>
      <c r="F13" s="5">
        <v>5</v>
      </c>
      <c r="G13" s="5">
        <v>6</v>
      </c>
      <c r="H13" s="5">
        <v>0</v>
      </c>
      <c r="I13" s="5">
        <v>1</v>
      </c>
      <c r="J13" s="5"/>
      <c r="K13" s="5">
        <v>0</v>
      </c>
      <c r="L13" s="5">
        <v>0</v>
      </c>
      <c r="M13" s="5">
        <v>155</v>
      </c>
      <c r="N13" s="5">
        <v>13</v>
      </c>
      <c r="O13" s="5">
        <v>1</v>
      </c>
      <c r="P13" s="5">
        <v>0</v>
      </c>
      <c r="Q13" s="5">
        <v>0</v>
      </c>
      <c r="R13" s="5">
        <v>7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515</v>
      </c>
      <c r="D16" s="3">
        <f t="shared" ref="D16:V16" si="0">SUM(D4:D15)</f>
        <v>6</v>
      </c>
      <c r="E16" s="3">
        <f t="shared" si="0"/>
        <v>13</v>
      </c>
      <c r="F16" s="3">
        <f t="shared" si="0"/>
        <v>55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254</v>
      </c>
      <c r="N16" s="3">
        <f t="shared" si="0"/>
        <v>44</v>
      </c>
      <c r="O16" s="3">
        <f t="shared" si="0"/>
        <v>1</v>
      </c>
      <c r="P16" s="3">
        <f t="shared" si="0"/>
        <v>4</v>
      </c>
      <c r="Q16" s="3">
        <f t="shared" si="0"/>
        <v>0</v>
      </c>
      <c r="R16" s="3">
        <f t="shared" si="0"/>
        <v>11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"/>
  <sheetViews>
    <sheetView workbookViewId="0">
      <selection activeCell="B9" sqref="B9:B13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45293</v>
      </c>
      <c r="C9" s="5">
        <v>17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25</v>
      </c>
      <c r="N9" s="5">
        <v>4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45293</v>
      </c>
      <c r="C10" s="5">
        <v>249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16</v>
      </c>
      <c r="N10" s="5">
        <v>4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45293</v>
      </c>
      <c r="C11" s="5">
        <v>172</v>
      </c>
      <c r="D11" s="5">
        <v>3</v>
      </c>
      <c r="E11" s="5">
        <v>12</v>
      </c>
      <c r="F11" s="5">
        <v>48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55</v>
      </c>
      <c r="N11" s="5">
        <v>4</v>
      </c>
      <c r="O11" s="5">
        <v>0</v>
      </c>
      <c r="P11" s="5">
        <v>4</v>
      </c>
      <c r="Q11" s="5">
        <v>0</v>
      </c>
      <c r="R11" s="5">
        <v>30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45293</v>
      </c>
      <c r="C12" s="5">
        <v>52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11</v>
      </c>
      <c r="N12" s="5">
        <v>13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45293</v>
      </c>
      <c r="C13" s="5">
        <v>197</v>
      </c>
      <c r="D13" s="5">
        <v>5</v>
      </c>
      <c r="E13" s="5">
        <v>1</v>
      </c>
      <c r="F13" s="5">
        <v>5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134</v>
      </c>
      <c r="N13" s="5">
        <v>13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687</v>
      </c>
      <c r="D16" s="3">
        <f t="shared" ref="D16:V16" si="0">SUM(D4:D15)</f>
        <v>9</v>
      </c>
      <c r="E16" s="3">
        <f t="shared" si="0"/>
        <v>13</v>
      </c>
      <c r="F16" s="3">
        <f t="shared" si="0"/>
        <v>55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241</v>
      </c>
      <c r="N16" s="3">
        <f t="shared" si="0"/>
        <v>38</v>
      </c>
      <c r="O16" s="3">
        <f t="shared" si="0"/>
        <v>1</v>
      </c>
      <c r="P16" s="3">
        <f t="shared" si="0"/>
        <v>4</v>
      </c>
      <c r="Q16" s="3">
        <f t="shared" si="0"/>
        <v>0</v>
      </c>
      <c r="R16" s="3">
        <f t="shared" si="0"/>
        <v>37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"/>
  <sheetViews>
    <sheetView topLeftCell="G1" workbookViewId="0">
      <selection activeCell="B9" sqref="B9:B13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45299</v>
      </c>
      <c r="C9" s="5">
        <v>16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24</v>
      </c>
      <c r="N9" s="5">
        <v>4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45299</v>
      </c>
      <c r="C10" s="5">
        <v>187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13</v>
      </c>
      <c r="N10" s="5">
        <v>4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45299</v>
      </c>
      <c r="C11" s="5">
        <v>137</v>
      </c>
      <c r="D11" s="5">
        <v>3</v>
      </c>
      <c r="E11" s="5">
        <v>12</v>
      </c>
      <c r="F11" s="5">
        <v>48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48</v>
      </c>
      <c r="N11" s="5">
        <v>4</v>
      </c>
      <c r="O11" s="5">
        <v>0</v>
      </c>
      <c r="P11" s="5">
        <v>4</v>
      </c>
      <c r="Q11" s="5">
        <v>0</v>
      </c>
      <c r="R11" s="5">
        <v>30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45299</v>
      </c>
      <c r="C12" s="5">
        <v>50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7</v>
      </c>
      <c r="N12" s="5">
        <v>13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45299</v>
      </c>
      <c r="C13" s="5">
        <v>143</v>
      </c>
      <c r="D13" s="5">
        <v>4</v>
      </c>
      <c r="E13" s="5">
        <v>1</v>
      </c>
      <c r="F13" s="5">
        <v>5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85</v>
      </c>
      <c r="N13" s="5">
        <v>13</v>
      </c>
      <c r="O13" s="5">
        <v>1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533</v>
      </c>
      <c r="D16" s="3">
        <f t="shared" ref="D16:V16" si="0">SUM(D4:D15)</f>
        <v>8</v>
      </c>
      <c r="E16" s="3">
        <f t="shared" si="0"/>
        <v>13</v>
      </c>
      <c r="F16" s="3">
        <f t="shared" si="0"/>
        <v>55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177</v>
      </c>
      <c r="N16" s="3">
        <f t="shared" si="0"/>
        <v>38</v>
      </c>
      <c r="O16" s="3">
        <f t="shared" si="0"/>
        <v>1</v>
      </c>
      <c r="P16" s="3">
        <f t="shared" si="0"/>
        <v>4</v>
      </c>
      <c r="Q16" s="3">
        <f t="shared" si="0"/>
        <v>0</v>
      </c>
      <c r="R16" s="3">
        <f t="shared" si="0"/>
        <v>38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6"/>
  <sheetViews>
    <sheetView topLeftCell="I4" workbookViewId="0">
      <selection activeCell="Q12" sqref="Q12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45306</v>
      </c>
      <c r="C9" s="5">
        <v>11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20</v>
      </c>
      <c r="N9" s="5">
        <v>3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45306</v>
      </c>
      <c r="C10" s="5">
        <v>182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11</v>
      </c>
      <c r="N10" s="5">
        <v>4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45306</v>
      </c>
      <c r="C11" s="5">
        <v>127</v>
      </c>
      <c r="D11" s="5">
        <v>2</v>
      </c>
      <c r="E11" s="5">
        <v>11</v>
      </c>
      <c r="F11" s="5">
        <v>48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26</v>
      </c>
      <c r="N11" s="5">
        <v>20</v>
      </c>
      <c r="O11" s="5">
        <v>0</v>
      </c>
      <c r="P11" s="5">
        <v>4</v>
      </c>
      <c r="Q11" s="5">
        <v>0</v>
      </c>
      <c r="R11" s="5">
        <v>30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45306</v>
      </c>
      <c r="C12" s="5">
        <v>49</v>
      </c>
      <c r="D12" s="5">
        <v>0</v>
      </c>
      <c r="E12" s="5">
        <v>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10</v>
      </c>
      <c r="N12" s="5">
        <v>13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45306</v>
      </c>
      <c r="C13" s="5">
        <v>88</v>
      </c>
      <c r="D13" s="5">
        <v>3</v>
      </c>
      <c r="E13" s="5">
        <v>1</v>
      </c>
      <c r="F13" s="5">
        <v>5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17</v>
      </c>
      <c r="N13" s="5">
        <v>13</v>
      </c>
      <c r="O13" s="5">
        <v>1</v>
      </c>
      <c r="P13" s="5">
        <v>0</v>
      </c>
      <c r="Q13" s="5">
        <v>0</v>
      </c>
      <c r="R13" s="5">
        <v>8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457</v>
      </c>
      <c r="D16" s="3">
        <f t="shared" ref="D16:V16" si="0">SUM(D4:D15)</f>
        <v>6</v>
      </c>
      <c r="E16" s="3">
        <f t="shared" si="0"/>
        <v>13</v>
      </c>
      <c r="F16" s="3">
        <f t="shared" si="0"/>
        <v>54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84</v>
      </c>
      <c r="N16" s="3">
        <f t="shared" si="0"/>
        <v>53</v>
      </c>
      <c r="O16" s="3">
        <f t="shared" si="0"/>
        <v>1</v>
      </c>
      <c r="P16" s="3">
        <f t="shared" si="0"/>
        <v>4</v>
      </c>
      <c r="Q16" s="3">
        <f t="shared" si="0"/>
        <v>0</v>
      </c>
      <c r="R16" s="3">
        <f t="shared" si="0"/>
        <v>45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6"/>
  <sheetViews>
    <sheetView workbookViewId="0">
      <selection activeCell="M11" sqref="M11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45313</v>
      </c>
      <c r="C9" s="5">
        <v>11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20</v>
      </c>
      <c r="N9" s="5">
        <v>3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45313</v>
      </c>
      <c r="C10" s="5">
        <v>176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26</v>
      </c>
      <c r="N10" s="5">
        <v>4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45313</v>
      </c>
      <c r="C11" s="5">
        <v>84</v>
      </c>
      <c r="D11" s="5">
        <v>2</v>
      </c>
      <c r="E11" s="5">
        <v>11</v>
      </c>
      <c r="F11" s="5">
        <v>46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8</v>
      </c>
      <c r="N11" s="5">
        <v>19</v>
      </c>
      <c r="O11" s="5">
        <v>0</v>
      </c>
      <c r="P11" s="5">
        <v>4</v>
      </c>
      <c r="Q11" s="5">
        <v>0</v>
      </c>
      <c r="R11" s="5">
        <v>29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45313</v>
      </c>
      <c r="C12" s="5">
        <v>39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2</v>
      </c>
      <c r="N12" s="5">
        <v>13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45313</v>
      </c>
      <c r="C13" s="5">
        <v>168</v>
      </c>
      <c r="D13" s="5">
        <v>3</v>
      </c>
      <c r="E13" s="5">
        <v>1</v>
      </c>
      <c r="F13" s="5">
        <v>5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46</v>
      </c>
      <c r="N13" s="5">
        <v>13</v>
      </c>
      <c r="O13" s="5">
        <v>1</v>
      </c>
      <c r="P13" s="5">
        <v>0</v>
      </c>
      <c r="Q13" s="5">
        <v>0</v>
      </c>
      <c r="R13" s="5">
        <v>7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478</v>
      </c>
      <c r="D16" s="3">
        <f t="shared" ref="D16:V16" si="0">SUM(D4:D15)</f>
        <v>6</v>
      </c>
      <c r="E16" s="3">
        <f t="shared" si="0"/>
        <v>12</v>
      </c>
      <c r="F16" s="3">
        <f t="shared" si="0"/>
        <v>53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102</v>
      </c>
      <c r="N16" s="3">
        <f t="shared" si="0"/>
        <v>52</v>
      </c>
      <c r="O16" s="3">
        <f t="shared" si="0"/>
        <v>1</v>
      </c>
      <c r="P16" s="3">
        <f t="shared" si="0"/>
        <v>4</v>
      </c>
      <c r="Q16" s="3">
        <f t="shared" si="0"/>
        <v>0</v>
      </c>
      <c r="R16" s="3">
        <f t="shared" si="0"/>
        <v>43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6"/>
  <sheetViews>
    <sheetView workbookViewId="0">
      <selection activeCell="J12" sqref="J12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45320</v>
      </c>
      <c r="C9" s="5">
        <v>31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15</v>
      </c>
      <c r="N9" s="5">
        <v>2</v>
      </c>
      <c r="O9" s="5">
        <v>0</v>
      </c>
      <c r="P9" s="5">
        <v>0</v>
      </c>
      <c r="Q9" s="5">
        <v>0</v>
      </c>
      <c r="R9" s="5">
        <v>2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45320</v>
      </c>
      <c r="C10" s="5">
        <v>135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25</v>
      </c>
      <c r="N10" s="5">
        <v>3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45320</v>
      </c>
      <c r="C11" s="5">
        <v>248</v>
      </c>
      <c r="D11" s="5">
        <v>8</v>
      </c>
      <c r="E11" s="5">
        <v>11</v>
      </c>
      <c r="F11" s="5">
        <v>46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38</v>
      </c>
      <c r="N11" s="5">
        <v>21</v>
      </c>
      <c r="O11" s="5">
        <v>0</v>
      </c>
      <c r="P11" s="5">
        <v>3</v>
      </c>
      <c r="Q11" s="5">
        <v>0</v>
      </c>
      <c r="R11" s="5">
        <v>29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45320</v>
      </c>
      <c r="C12" s="5">
        <v>43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16</v>
      </c>
      <c r="N12" s="5">
        <v>13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45320</v>
      </c>
      <c r="C13" s="5">
        <v>214</v>
      </c>
      <c r="D13" s="5">
        <v>3</v>
      </c>
      <c r="E13" s="5">
        <v>1</v>
      </c>
      <c r="F13" s="5">
        <v>4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77</v>
      </c>
      <c r="N13" s="5">
        <v>13</v>
      </c>
      <c r="O13" s="5">
        <v>1</v>
      </c>
      <c r="P13" s="5">
        <v>0</v>
      </c>
      <c r="Q13" s="5">
        <v>0</v>
      </c>
      <c r="R13" s="5">
        <v>7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671</v>
      </c>
      <c r="D16" s="3">
        <f t="shared" ref="D16:V16" si="0">SUM(D4:D15)</f>
        <v>12</v>
      </c>
      <c r="E16" s="3">
        <f t="shared" si="0"/>
        <v>12</v>
      </c>
      <c r="F16" s="3">
        <f t="shared" si="0"/>
        <v>52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171</v>
      </c>
      <c r="N16" s="3">
        <f t="shared" si="0"/>
        <v>52</v>
      </c>
      <c r="O16" s="3">
        <f t="shared" si="0"/>
        <v>1</v>
      </c>
      <c r="P16" s="3">
        <f t="shared" si="0"/>
        <v>3</v>
      </c>
      <c r="Q16" s="3">
        <f t="shared" si="0"/>
        <v>0</v>
      </c>
      <c r="R16" s="3">
        <f t="shared" si="0"/>
        <v>41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6"/>
  <sheetViews>
    <sheetView topLeftCell="I4" workbookViewId="0">
      <selection activeCell="M1" sqref="A1:XFD1048576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45327</v>
      </c>
      <c r="C9" s="5">
        <v>30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10</v>
      </c>
      <c r="N9" s="5">
        <v>4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45327</v>
      </c>
      <c r="C10" s="5">
        <v>132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24</v>
      </c>
      <c r="N10" s="5">
        <v>3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45327</v>
      </c>
      <c r="C11" s="5">
        <v>184</v>
      </c>
      <c r="D11" s="5">
        <v>7</v>
      </c>
      <c r="E11" s="5">
        <v>10</v>
      </c>
      <c r="F11" s="5">
        <v>46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35</v>
      </c>
      <c r="N11" s="5">
        <v>16</v>
      </c>
      <c r="O11" s="5">
        <v>0</v>
      </c>
      <c r="P11" s="5">
        <v>3</v>
      </c>
      <c r="Q11" s="5">
        <v>0</v>
      </c>
      <c r="R11" s="5">
        <v>29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45327</v>
      </c>
      <c r="C12" s="5">
        <v>41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13</v>
      </c>
      <c r="N12" s="5">
        <v>13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45327</v>
      </c>
      <c r="C13" s="5">
        <v>191</v>
      </c>
      <c r="D13" s="5">
        <v>3</v>
      </c>
      <c r="E13" s="5">
        <v>1</v>
      </c>
      <c r="F13" s="5">
        <v>4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51</v>
      </c>
      <c r="N13" s="5">
        <v>13</v>
      </c>
      <c r="O13" s="5">
        <v>1</v>
      </c>
      <c r="P13" s="5">
        <v>0</v>
      </c>
      <c r="Q13" s="5">
        <v>0</v>
      </c>
      <c r="R13" s="5">
        <v>7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578</v>
      </c>
      <c r="D16" s="3">
        <f t="shared" ref="D16:V16" si="0">SUM(D4:D15)</f>
        <v>11</v>
      </c>
      <c r="E16" s="3">
        <f t="shared" si="0"/>
        <v>11</v>
      </c>
      <c r="F16" s="3">
        <f t="shared" si="0"/>
        <v>52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133</v>
      </c>
      <c r="N16" s="3">
        <f t="shared" si="0"/>
        <v>49</v>
      </c>
      <c r="O16" s="3">
        <f t="shared" si="0"/>
        <v>1</v>
      </c>
      <c r="P16" s="3">
        <f t="shared" si="0"/>
        <v>3</v>
      </c>
      <c r="Q16" s="3">
        <f t="shared" si="0"/>
        <v>0</v>
      </c>
      <c r="R16" s="3">
        <f t="shared" si="0"/>
        <v>40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6"/>
  <sheetViews>
    <sheetView workbookViewId="0">
      <selection activeCell="E6" sqref="E6"/>
    </sheetView>
  </sheetViews>
  <sheetFormatPr defaultColWidth="11.875" defaultRowHeight="14.3" x14ac:dyDescent="0.25"/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3" ht="19.05" x14ac:dyDescent="0.35">
      <c r="A6" s="6" t="s">
        <v>30</v>
      </c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3" ht="19.05" x14ac:dyDescent="0.35">
      <c r="A8" s="6" t="s">
        <v>32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3" ht="19.05" x14ac:dyDescent="0.35">
      <c r="A9" s="6" t="s">
        <v>24</v>
      </c>
      <c r="B9" s="2">
        <v>45334</v>
      </c>
      <c r="C9" s="5">
        <v>27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7</v>
      </c>
      <c r="N9" s="5">
        <v>4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0</v>
      </c>
      <c r="V9" s="5">
        <v>0</v>
      </c>
    </row>
    <row r="10" spans="1:23" ht="19.05" x14ac:dyDescent="0.35">
      <c r="A10" s="6" t="s">
        <v>23</v>
      </c>
      <c r="B10" s="2">
        <v>45334</v>
      </c>
      <c r="C10" s="5">
        <v>130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24</v>
      </c>
      <c r="N10" s="5">
        <v>3</v>
      </c>
      <c r="O10" s="5">
        <v>0</v>
      </c>
      <c r="P10" s="5">
        <v>0</v>
      </c>
      <c r="Q10" s="5">
        <v>0</v>
      </c>
      <c r="R10" s="5">
        <v>2</v>
      </c>
      <c r="S10" s="5">
        <v>2</v>
      </c>
      <c r="T10" s="5">
        <v>0</v>
      </c>
      <c r="U10" s="5">
        <v>0</v>
      </c>
      <c r="V10" s="5">
        <v>0</v>
      </c>
      <c r="W10" s="8"/>
    </row>
    <row r="11" spans="1:23" ht="19.05" x14ac:dyDescent="0.35">
      <c r="A11" s="6" t="s">
        <v>26</v>
      </c>
      <c r="B11" s="2">
        <v>45334</v>
      </c>
      <c r="C11" s="5">
        <v>198</v>
      </c>
      <c r="D11" s="5">
        <v>7</v>
      </c>
      <c r="E11" s="5">
        <v>10</v>
      </c>
      <c r="F11" s="5">
        <v>46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18</v>
      </c>
      <c r="N11" s="5">
        <v>16</v>
      </c>
      <c r="O11" s="5">
        <v>0</v>
      </c>
      <c r="P11" s="5">
        <v>3</v>
      </c>
      <c r="Q11" s="5">
        <v>0</v>
      </c>
      <c r="R11" s="5">
        <v>29</v>
      </c>
      <c r="S11" s="5">
        <v>3</v>
      </c>
      <c r="T11" s="5">
        <v>0</v>
      </c>
      <c r="U11" s="5">
        <v>0</v>
      </c>
      <c r="V11" s="5">
        <v>2</v>
      </c>
    </row>
    <row r="12" spans="1:23" ht="19.05" x14ac:dyDescent="0.35">
      <c r="A12" s="6" t="s">
        <v>25</v>
      </c>
      <c r="B12" s="2">
        <v>45334</v>
      </c>
      <c r="C12" s="5">
        <v>45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13</v>
      </c>
      <c r="N12" s="5">
        <v>12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</row>
    <row r="13" spans="1:23" ht="19.05" x14ac:dyDescent="0.35">
      <c r="A13" s="6" t="s">
        <v>33</v>
      </c>
      <c r="B13" s="2">
        <v>45334</v>
      </c>
      <c r="C13" s="5">
        <v>121</v>
      </c>
      <c r="D13" s="5">
        <v>3</v>
      </c>
      <c r="E13" s="5">
        <v>1</v>
      </c>
      <c r="F13" s="5">
        <v>4</v>
      </c>
      <c r="G13" s="5">
        <v>6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18</v>
      </c>
      <c r="N13" s="5">
        <v>3</v>
      </c>
      <c r="O13" s="5">
        <v>1</v>
      </c>
      <c r="P13" s="5">
        <v>0</v>
      </c>
      <c r="Q13" s="5">
        <v>0</v>
      </c>
      <c r="R13" s="5">
        <v>7</v>
      </c>
      <c r="S13" s="5">
        <v>0</v>
      </c>
      <c r="T13" s="5">
        <v>0</v>
      </c>
      <c r="U13" s="5">
        <v>0</v>
      </c>
      <c r="V13" s="5">
        <v>0</v>
      </c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521</v>
      </c>
      <c r="D16" s="3">
        <f t="shared" ref="D16:V16" si="0">SUM(D4:D15)</f>
        <v>10</v>
      </c>
      <c r="E16" s="3">
        <f t="shared" si="0"/>
        <v>11</v>
      </c>
      <c r="F16" s="3">
        <f t="shared" si="0"/>
        <v>52</v>
      </c>
      <c r="G16" s="3">
        <f t="shared" si="0"/>
        <v>16</v>
      </c>
      <c r="H16" s="3">
        <f t="shared" si="0"/>
        <v>0</v>
      </c>
      <c r="I16" s="3">
        <f t="shared" si="0"/>
        <v>1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80</v>
      </c>
      <c r="N16" s="3">
        <f t="shared" si="0"/>
        <v>38</v>
      </c>
      <c r="O16" s="3">
        <f t="shared" si="0"/>
        <v>1</v>
      </c>
      <c r="P16" s="3">
        <f t="shared" si="0"/>
        <v>3</v>
      </c>
      <c r="Q16" s="3">
        <f t="shared" si="0"/>
        <v>0</v>
      </c>
      <c r="R16" s="3">
        <f t="shared" si="0"/>
        <v>40</v>
      </c>
      <c r="S16" s="3">
        <f t="shared" si="0"/>
        <v>6</v>
      </c>
      <c r="T16" s="3">
        <f t="shared" si="0"/>
        <v>0</v>
      </c>
      <c r="U16" s="3">
        <f t="shared" si="0"/>
        <v>0</v>
      </c>
      <c r="V16" s="3">
        <f t="shared" si="0"/>
        <v>2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6"/>
  <sheetViews>
    <sheetView topLeftCell="J1" workbookViewId="0">
      <selection activeCell="A16" sqref="A16"/>
    </sheetView>
  </sheetViews>
  <sheetFormatPr defaultColWidth="11.875" defaultRowHeight="14.3" x14ac:dyDescent="0.25"/>
  <cols>
    <col min="1" max="1" width="14.625" bestFit="1" customWidth="1"/>
  </cols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>
        <v>45341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>
        <v>45341</v>
      </c>
      <c r="C5" s="5">
        <v>44</v>
      </c>
      <c r="D5" s="5">
        <v>1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31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3" ht="19.05" x14ac:dyDescent="0.35">
      <c r="A6" s="6" t="s">
        <v>30</v>
      </c>
      <c r="B6" s="2">
        <v>45341</v>
      </c>
      <c r="C6" s="5">
        <v>187</v>
      </c>
      <c r="D6" s="5"/>
      <c r="E6" s="5"/>
      <c r="F6" s="5"/>
      <c r="G6" s="5"/>
      <c r="H6" s="5"/>
      <c r="I6" s="5"/>
      <c r="J6" s="5"/>
      <c r="K6" s="5"/>
      <c r="L6" s="5"/>
      <c r="M6" s="5">
        <v>52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>
        <v>45341</v>
      </c>
      <c r="C7" s="5">
        <v>160</v>
      </c>
      <c r="D7" s="5">
        <v>2</v>
      </c>
      <c r="E7" s="5"/>
      <c r="F7" s="5">
        <v>1</v>
      </c>
      <c r="G7" s="5">
        <v>1</v>
      </c>
      <c r="H7" s="5"/>
      <c r="I7" s="5"/>
      <c r="J7" s="5"/>
      <c r="K7" s="5"/>
      <c r="L7" s="5"/>
      <c r="M7" s="5">
        <v>64</v>
      </c>
      <c r="N7" s="5">
        <v>9</v>
      </c>
      <c r="O7" s="5"/>
      <c r="P7" s="5">
        <v>12</v>
      </c>
      <c r="Q7" s="5"/>
      <c r="R7" s="5">
        <v>6</v>
      </c>
      <c r="S7" s="5">
        <v>2</v>
      </c>
      <c r="T7" s="5"/>
      <c r="U7" s="5"/>
      <c r="V7" s="5">
        <v>1</v>
      </c>
    </row>
    <row r="8" spans="1:23" ht="19.05" x14ac:dyDescent="0.35">
      <c r="A8" s="6" t="s">
        <v>32</v>
      </c>
      <c r="B8" s="2">
        <v>45341</v>
      </c>
      <c r="C8" s="5">
        <v>59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16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/>
    </row>
    <row r="9" spans="1:23" ht="19.05" x14ac:dyDescent="0.35">
      <c r="A9" s="6" t="s">
        <v>24</v>
      </c>
      <c r="B9" s="2">
        <v>45341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3" ht="19.05" x14ac:dyDescent="0.35">
      <c r="A10" s="6" t="s">
        <v>23</v>
      </c>
      <c r="B10" s="2">
        <v>45341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8"/>
    </row>
    <row r="11" spans="1:23" ht="19.05" x14ac:dyDescent="0.35">
      <c r="A11" s="6" t="s">
        <v>26</v>
      </c>
      <c r="B11" s="2">
        <v>45341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3" ht="19.05" x14ac:dyDescent="0.35">
      <c r="A12" s="6" t="s">
        <v>25</v>
      </c>
      <c r="B12" s="2">
        <v>45341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3" ht="19.05" x14ac:dyDescent="0.35">
      <c r="A13" s="6" t="s">
        <v>33</v>
      </c>
      <c r="B13" s="2">
        <v>45341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3" ht="19.05" x14ac:dyDescent="0.35">
      <c r="A14" s="6" t="s">
        <v>34</v>
      </c>
      <c r="B14" s="2">
        <v>45341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>
        <v>45341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450</v>
      </c>
      <c r="D16" s="3">
        <f t="shared" ref="D16:V16" si="0">SUM(D4:D15)</f>
        <v>5</v>
      </c>
      <c r="E16" s="3">
        <f t="shared" si="0"/>
        <v>5</v>
      </c>
      <c r="F16" s="3">
        <f t="shared" si="0"/>
        <v>6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163</v>
      </c>
      <c r="N16" s="3">
        <f t="shared" si="0"/>
        <v>31</v>
      </c>
      <c r="O16" s="3">
        <f t="shared" si="0"/>
        <v>0</v>
      </c>
      <c r="P16" s="3">
        <f t="shared" si="0"/>
        <v>14</v>
      </c>
      <c r="Q16" s="3">
        <f t="shared" si="0"/>
        <v>6</v>
      </c>
      <c r="R16" s="3">
        <f t="shared" si="0"/>
        <v>8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B2FD-EB3F-4EE2-A1E4-66D86188FEB1}">
  <dimension ref="A1:W16"/>
  <sheetViews>
    <sheetView workbookViewId="0">
      <selection activeCell="V18" sqref="A1:V18"/>
    </sheetView>
  </sheetViews>
  <sheetFormatPr defaultRowHeight="14.3" x14ac:dyDescent="0.25"/>
  <cols>
    <col min="1" max="1" width="13.875" customWidth="1"/>
    <col min="2" max="2" width="11.25" bestFit="1" customWidth="1"/>
  </cols>
  <sheetData>
    <row r="1" spans="1:23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3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3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3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3" ht="19.05" x14ac:dyDescent="0.35">
      <c r="A5" s="6" t="s">
        <v>29</v>
      </c>
      <c r="B5" s="2">
        <v>45348</v>
      </c>
      <c r="C5" s="5">
        <v>140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26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3" ht="19.05" x14ac:dyDescent="0.35">
      <c r="A6" s="6" t="s">
        <v>30</v>
      </c>
      <c r="B6" s="2">
        <v>45348</v>
      </c>
      <c r="C6" s="5">
        <v>143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17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3" ht="19.05" x14ac:dyDescent="0.35">
      <c r="A7" s="6" t="s">
        <v>31</v>
      </c>
      <c r="B7" s="2">
        <v>45348</v>
      </c>
      <c r="C7" s="5">
        <v>87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45</v>
      </c>
      <c r="N7" s="5">
        <v>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3" ht="19.05" x14ac:dyDescent="0.35">
      <c r="A8" s="6" t="s">
        <v>32</v>
      </c>
      <c r="B8" s="2">
        <v>45348</v>
      </c>
      <c r="C8" s="5">
        <v>55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16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3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3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8"/>
    </row>
    <row r="11" spans="1:23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3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3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3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3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3" ht="16.3" x14ac:dyDescent="0.3">
      <c r="A16" s="2" t="s">
        <v>27</v>
      </c>
      <c r="B16" s="2"/>
      <c r="C16" s="3">
        <f>SUM(C4:C15)</f>
        <v>425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104</v>
      </c>
      <c r="N16" s="3">
        <f t="shared" si="0"/>
        <v>28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1B10-DACF-4882-A9B6-CD0B4E59EDA3}">
  <dimension ref="A1:V16"/>
  <sheetViews>
    <sheetView workbookViewId="0">
      <selection activeCell="V16" sqref="A1:V16"/>
    </sheetView>
  </sheetViews>
  <sheetFormatPr defaultRowHeight="14.3" x14ac:dyDescent="0.25"/>
  <cols>
    <col min="2" max="2" width="11.875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45355</v>
      </c>
      <c r="C5" s="5">
        <v>125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23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45355</v>
      </c>
      <c r="C6" s="5">
        <v>86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29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45355</v>
      </c>
      <c r="C7" s="5">
        <v>133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37</v>
      </c>
      <c r="N7" s="5">
        <v>22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45355</v>
      </c>
      <c r="C8" s="5">
        <v>50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14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394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103</v>
      </c>
      <c r="N16" s="3">
        <f t="shared" si="0"/>
        <v>44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13EA-41E2-4335-9FFB-C2DA8E6FC844}">
  <dimension ref="A1:V16"/>
  <sheetViews>
    <sheetView workbookViewId="0">
      <selection activeCell="J27" sqref="J27"/>
    </sheetView>
  </sheetViews>
  <sheetFormatPr defaultRowHeight="14.3" x14ac:dyDescent="0.25"/>
  <cols>
    <col min="2" max="2" width="11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45362</v>
      </c>
      <c r="C5" s="5">
        <v>100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16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45362</v>
      </c>
      <c r="C6" s="5">
        <v>66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22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45362</v>
      </c>
      <c r="C7" s="5">
        <v>81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20</v>
      </c>
      <c r="N7" s="5">
        <v>21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45362</v>
      </c>
      <c r="C8" s="5">
        <v>50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31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297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89</v>
      </c>
      <c r="N16" s="3">
        <f t="shared" si="0"/>
        <v>43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14B1-ABCD-4D9C-B2CC-79F83E033C6C}">
  <dimension ref="A2:V17"/>
  <sheetViews>
    <sheetView workbookViewId="0">
      <selection activeCell="L27" sqref="L27"/>
    </sheetView>
  </sheetViews>
  <sheetFormatPr defaultRowHeight="14.3" x14ac:dyDescent="0.25"/>
  <cols>
    <col min="2" max="2" width="11" bestFit="1" customWidth="1"/>
  </cols>
  <sheetData>
    <row r="2" spans="1:22" x14ac:dyDescent="0.25">
      <c r="A2" s="451" t="s">
        <v>21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3"/>
      <c r="M2" s="450" t="s">
        <v>20</v>
      </c>
      <c r="N2" s="450"/>
      <c r="O2" s="450"/>
      <c r="P2" s="450"/>
      <c r="Q2" s="450"/>
      <c r="R2" s="450"/>
      <c r="S2" s="450"/>
      <c r="T2" s="450"/>
      <c r="U2" s="450"/>
      <c r="V2" s="450"/>
    </row>
    <row r="3" spans="1:22" x14ac:dyDescent="0.25">
      <c r="A3" s="454"/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6"/>
      <c r="M3" s="448" t="s">
        <v>11</v>
      </c>
      <c r="N3" s="448"/>
      <c r="O3" s="448"/>
      <c r="P3" s="448"/>
      <c r="Q3" s="449" t="s">
        <v>12</v>
      </c>
      <c r="R3" s="449"/>
      <c r="S3" s="449"/>
      <c r="T3" s="449"/>
      <c r="U3" s="449"/>
      <c r="V3" s="449"/>
    </row>
    <row r="4" spans="1:22" x14ac:dyDescent="0.25">
      <c r="A4" s="1" t="s">
        <v>22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14</v>
      </c>
      <c r="S4" s="1" t="s">
        <v>15</v>
      </c>
      <c r="T4" s="1" t="s">
        <v>16</v>
      </c>
      <c r="U4" s="1" t="s">
        <v>18</v>
      </c>
      <c r="V4" s="1" t="s">
        <v>19</v>
      </c>
    </row>
    <row r="5" spans="1:22" ht="19.05" x14ac:dyDescent="0.35">
      <c r="A5" s="6" t="s">
        <v>28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9.05" x14ac:dyDescent="0.35">
      <c r="A6" s="6" t="s">
        <v>29</v>
      </c>
      <c r="B6" s="2">
        <v>45369</v>
      </c>
      <c r="C6" s="5">
        <v>83</v>
      </c>
      <c r="D6" s="5">
        <v>3</v>
      </c>
      <c r="E6" s="5">
        <v>4</v>
      </c>
      <c r="F6" s="5">
        <v>4</v>
      </c>
      <c r="G6" s="5">
        <v>1</v>
      </c>
      <c r="H6" s="5"/>
      <c r="I6" s="5"/>
      <c r="J6" s="5"/>
      <c r="K6" s="5"/>
      <c r="L6" s="5"/>
      <c r="M6" s="5">
        <v>14</v>
      </c>
      <c r="N6" s="5">
        <v>4</v>
      </c>
      <c r="O6" s="5"/>
      <c r="P6" s="5">
        <v>2</v>
      </c>
      <c r="Q6" s="5">
        <v>1</v>
      </c>
      <c r="R6" s="5">
        <v>2</v>
      </c>
      <c r="S6" s="5"/>
      <c r="T6" s="5"/>
      <c r="U6" s="5"/>
      <c r="V6" s="5">
        <v>4</v>
      </c>
    </row>
    <row r="7" spans="1:22" ht="19.05" x14ac:dyDescent="0.35">
      <c r="A7" s="6" t="s">
        <v>30</v>
      </c>
      <c r="B7" s="2">
        <v>45369</v>
      </c>
      <c r="C7" s="5">
        <v>47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9</v>
      </c>
      <c r="N7" s="5">
        <v>2</v>
      </c>
      <c r="O7" s="5"/>
      <c r="P7" s="5"/>
      <c r="Q7" s="5"/>
      <c r="R7" s="5"/>
      <c r="S7" s="5"/>
      <c r="T7" s="5"/>
      <c r="U7" s="5"/>
      <c r="V7" s="5"/>
    </row>
    <row r="8" spans="1:22" ht="19.05" x14ac:dyDescent="0.35">
      <c r="A8" s="6" t="s">
        <v>31</v>
      </c>
      <c r="B8" s="2">
        <v>45369</v>
      </c>
      <c r="C8" s="5">
        <v>36</v>
      </c>
      <c r="D8" s="5">
        <v>1</v>
      </c>
      <c r="E8" s="5"/>
      <c r="F8" s="5"/>
      <c r="G8" s="5">
        <v>1</v>
      </c>
      <c r="H8" s="5"/>
      <c r="I8" s="5"/>
      <c r="J8" s="5"/>
      <c r="K8" s="5"/>
      <c r="L8" s="5"/>
      <c r="M8" s="5">
        <v>12</v>
      </c>
      <c r="N8" s="5">
        <v>21</v>
      </c>
      <c r="O8" s="5"/>
      <c r="P8" s="5">
        <v>12</v>
      </c>
      <c r="Q8" s="5">
        <v>4</v>
      </c>
      <c r="R8" s="5">
        <v>2</v>
      </c>
      <c r="S8" s="5">
        <v>2</v>
      </c>
      <c r="T8" s="5"/>
      <c r="U8" s="5"/>
      <c r="V8" s="5">
        <v>1</v>
      </c>
    </row>
    <row r="9" spans="1:22" ht="19.05" x14ac:dyDescent="0.35">
      <c r="A9" s="6" t="s">
        <v>32</v>
      </c>
      <c r="B9" s="2">
        <v>45369</v>
      </c>
      <c r="C9" s="5">
        <v>47</v>
      </c>
      <c r="D9" s="5">
        <v>2</v>
      </c>
      <c r="E9" s="5">
        <v>1</v>
      </c>
      <c r="F9" s="5">
        <v>1</v>
      </c>
      <c r="G9" s="5"/>
      <c r="H9" s="5"/>
      <c r="I9" s="5"/>
      <c r="J9" s="5"/>
      <c r="K9" s="5"/>
      <c r="L9" s="5"/>
      <c r="M9" s="5">
        <v>14</v>
      </c>
      <c r="N9" s="5">
        <v>16</v>
      </c>
      <c r="O9" s="5"/>
      <c r="P9" s="5"/>
      <c r="Q9" s="5">
        <v>5</v>
      </c>
      <c r="R9" s="5"/>
      <c r="S9" s="5">
        <v>1</v>
      </c>
      <c r="T9" s="5"/>
      <c r="U9" s="5"/>
      <c r="V9" s="5">
        <v>1</v>
      </c>
    </row>
    <row r="10" spans="1:22" ht="19.05" x14ac:dyDescent="0.35">
      <c r="A10" s="6" t="s">
        <v>24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23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26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25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33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34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9.05" x14ac:dyDescent="0.35">
      <c r="A16" s="6" t="s">
        <v>35</v>
      </c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6.3" x14ac:dyDescent="0.3">
      <c r="A17" s="2" t="s">
        <v>27</v>
      </c>
      <c r="B17" s="2"/>
      <c r="C17" s="3">
        <f>SUM(C5:C16)</f>
        <v>213</v>
      </c>
      <c r="D17" s="3">
        <f t="shared" ref="D17:V17" si="0">SUM(D5:D16)</f>
        <v>7</v>
      </c>
      <c r="E17" s="3">
        <f t="shared" si="0"/>
        <v>5</v>
      </c>
      <c r="F17" s="3">
        <f t="shared" si="0"/>
        <v>5</v>
      </c>
      <c r="G17" s="3">
        <f t="shared" si="0"/>
        <v>3</v>
      </c>
      <c r="H17" s="3">
        <f t="shared" si="0"/>
        <v>0</v>
      </c>
      <c r="I17" s="3">
        <f t="shared" si="0"/>
        <v>0</v>
      </c>
      <c r="J17" s="3">
        <f t="shared" si="0"/>
        <v>0</v>
      </c>
      <c r="K17" s="3">
        <f t="shared" si="0"/>
        <v>0</v>
      </c>
      <c r="L17" s="3">
        <f t="shared" si="0"/>
        <v>0</v>
      </c>
      <c r="M17" s="3">
        <f t="shared" si="0"/>
        <v>49</v>
      </c>
      <c r="N17" s="3">
        <f t="shared" si="0"/>
        <v>43</v>
      </c>
      <c r="O17" s="3">
        <f t="shared" si="0"/>
        <v>0</v>
      </c>
      <c r="P17" s="3">
        <f t="shared" si="0"/>
        <v>14</v>
      </c>
      <c r="Q17" s="3">
        <f t="shared" si="0"/>
        <v>10</v>
      </c>
      <c r="R17" s="3">
        <f t="shared" si="0"/>
        <v>4</v>
      </c>
      <c r="S17" s="3">
        <f t="shared" si="0"/>
        <v>3</v>
      </c>
      <c r="T17" s="3">
        <f t="shared" si="0"/>
        <v>0</v>
      </c>
      <c r="U17" s="3">
        <f t="shared" si="0"/>
        <v>0</v>
      </c>
      <c r="V17" s="3">
        <f t="shared" si="0"/>
        <v>6</v>
      </c>
    </row>
  </sheetData>
  <mergeCells count="4">
    <mergeCell ref="A2:L3"/>
    <mergeCell ref="M2:V2"/>
    <mergeCell ref="M3:P3"/>
    <mergeCell ref="Q3:V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51FE-621B-400A-83CA-491D567840D6}">
  <dimension ref="A1:V16"/>
  <sheetViews>
    <sheetView topLeftCell="B1" workbookViewId="0">
      <selection sqref="A1:V16"/>
    </sheetView>
  </sheetViews>
  <sheetFormatPr defaultRowHeight="14.3" x14ac:dyDescent="0.25"/>
  <cols>
    <col min="2" max="2" width="11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45376</v>
      </c>
      <c r="C5" s="5">
        <v>55</v>
      </c>
      <c r="D5" s="5">
        <v>2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6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45376</v>
      </c>
      <c r="C6" s="5">
        <v>51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25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45376</v>
      </c>
      <c r="C7" s="5">
        <v>131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53</v>
      </c>
      <c r="N7" s="5">
        <v>28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45376</v>
      </c>
      <c r="C8" s="5">
        <v>46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13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283</v>
      </c>
      <c r="D16" s="3">
        <f t="shared" ref="D16:V16" si="0">SUM(D4:D15)</f>
        <v>6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97</v>
      </c>
      <c r="N16" s="3">
        <f t="shared" si="0"/>
        <v>50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DE9F-333C-45CF-8648-31CCA9DEA5C7}">
  <dimension ref="A1:V16"/>
  <sheetViews>
    <sheetView topLeftCell="B1" workbookViewId="0">
      <selection activeCell="B16"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45383</v>
      </c>
      <c r="C5" s="5">
        <v>23</v>
      </c>
      <c r="D5" s="5">
        <v>1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36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45383</v>
      </c>
      <c r="C6" s="5">
        <v>43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50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45383</v>
      </c>
      <c r="C7" s="5">
        <v>108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66</v>
      </c>
      <c r="N7" s="5">
        <v>27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45383</v>
      </c>
      <c r="C8" s="5">
        <v>37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10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211</v>
      </c>
      <c r="D16" s="3">
        <f t="shared" ref="D16:V16" si="0">SUM(D4:D15)</f>
        <v>5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162</v>
      </c>
      <c r="N16" s="3">
        <f t="shared" si="0"/>
        <v>48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032A-8C82-4AAE-A0D0-48F2BA8F4550}">
  <dimension ref="A1:V16"/>
  <sheetViews>
    <sheetView topLeftCell="B1" workbookViewId="0">
      <selection sqref="A1:V16"/>
    </sheetView>
  </sheetViews>
  <sheetFormatPr defaultRowHeight="14.3" x14ac:dyDescent="0.25"/>
  <cols>
    <col min="1" max="1" width="14.625" bestFit="1" customWidth="1"/>
    <col min="2" max="2" width="10.1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45390</v>
      </c>
      <c r="C5" s="5">
        <v>82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63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45390</v>
      </c>
      <c r="C6" s="5">
        <v>41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22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45390</v>
      </c>
      <c r="C7" s="5">
        <v>91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55</v>
      </c>
      <c r="N7" s="5">
        <v>26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45390</v>
      </c>
      <c r="C8" s="5">
        <v>25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7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239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147</v>
      </c>
      <c r="N16" s="3">
        <f t="shared" si="0"/>
        <v>47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6BD9-A188-49D5-95AA-3578988FD11E}">
  <dimension ref="A1:V16"/>
  <sheetViews>
    <sheetView topLeftCell="B1"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  <col min="5" max="5" width="8.125" customWidth="1"/>
    <col min="6" max="6" width="8.75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45397</v>
      </c>
      <c r="C5" s="5">
        <v>75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63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45397</v>
      </c>
      <c r="C6" s="5">
        <v>41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5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45397</v>
      </c>
      <c r="C7" s="5">
        <v>78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54</v>
      </c>
      <c r="N7" s="5">
        <v>28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45397</v>
      </c>
      <c r="C8" s="5">
        <v>26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7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220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129</v>
      </c>
      <c r="N16" s="3">
        <f t="shared" si="0"/>
        <v>49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F456-D740-46EC-992E-037293A4EBA6}">
  <dimension ref="A1:V16"/>
  <sheetViews>
    <sheetView workbookViewId="0">
      <selection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45404</v>
      </c>
      <c r="C5" s="5">
        <v>40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31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45404</v>
      </c>
      <c r="C6" s="5">
        <v>27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5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45404</v>
      </c>
      <c r="C7" s="5">
        <v>74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52</v>
      </c>
      <c r="N7" s="5">
        <v>28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45404</v>
      </c>
      <c r="C8" s="5">
        <v>24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6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165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94</v>
      </c>
      <c r="N16" s="3">
        <f t="shared" si="0"/>
        <v>49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1AC9-1818-4281-A7FB-701DAA5E50AC}">
  <dimension ref="A1:V16"/>
  <sheetViews>
    <sheetView topLeftCell="B1" workbookViewId="0">
      <selection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45411</v>
      </c>
      <c r="C5" s="5">
        <v>49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28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45411</v>
      </c>
      <c r="C6" s="5">
        <v>50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25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45411</v>
      </c>
      <c r="C7" s="5">
        <v>65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67</v>
      </c>
      <c r="N7" s="5">
        <v>28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45411</v>
      </c>
      <c r="C8" s="5">
        <v>21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5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185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125</v>
      </c>
      <c r="N16" s="3">
        <f t="shared" si="0"/>
        <v>49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10AA-592B-4DD0-A88E-BB26C479200C}">
  <dimension ref="A1:V16"/>
  <sheetViews>
    <sheetView topLeftCell="B1" workbookViewId="0">
      <selection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45418</v>
      </c>
      <c r="C5" s="5">
        <v>97</v>
      </c>
      <c r="D5" s="5">
        <v>3</v>
      </c>
      <c r="E5" s="5">
        <v>4</v>
      </c>
      <c r="F5" s="5">
        <v>4</v>
      </c>
      <c r="G5" s="5">
        <v>1</v>
      </c>
      <c r="H5" s="5"/>
      <c r="I5" s="5"/>
      <c r="J5" s="5"/>
      <c r="K5" s="5"/>
      <c r="L5" s="5"/>
      <c r="M5" s="5">
        <v>26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45418</v>
      </c>
      <c r="C6" s="5">
        <v>20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24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45418</v>
      </c>
      <c r="C7" s="5">
        <v>64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35</v>
      </c>
      <c r="N7" s="5">
        <v>28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45418</v>
      </c>
      <c r="C8" s="5">
        <v>18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4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199</v>
      </c>
      <c r="D16" s="3">
        <f t="shared" ref="D16:V16" si="0">SUM(D4:D15)</f>
        <v>7</v>
      </c>
      <c r="E16" s="3">
        <f t="shared" si="0"/>
        <v>5</v>
      </c>
      <c r="F16" s="3">
        <f t="shared" si="0"/>
        <v>5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89</v>
      </c>
      <c r="N16" s="3">
        <f t="shared" si="0"/>
        <v>49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2E8-3EC2-47F6-8867-952F65481932}">
  <dimension ref="A1:V16"/>
  <sheetViews>
    <sheetView topLeftCell="B1" workbookViewId="0">
      <selection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45425</v>
      </c>
      <c r="C5" s="5">
        <v>49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</v>
      </c>
      <c r="N5" s="5">
        <v>4</v>
      </c>
      <c r="O5" s="5"/>
      <c r="P5" s="5">
        <v>2</v>
      </c>
      <c r="Q5" s="5">
        <v>1</v>
      </c>
      <c r="R5" s="5">
        <v>2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45425</v>
      </c>
      <c r="C6" s="5">
        <v>3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25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45425</v>
      </c>
      <c r="C7" s="5">
        <v>25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9</v>
      </c>
      <c r="N7" s="5">
        <v>27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45425</v>
      </c>
      <c r="C8" s="5">
        <v>11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15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88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53</v>
      </c>
      <c r="N16" s="3">
        <f t="shared" si="0"/>
        <v>48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4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BB28-04A7-4DE6-B6EE-933091D726D0}">
  <dimension ref="A1:V16"/>
  <sheetViews>
    <sheetView topLeftCell="B1"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45797</v>
      </c>
      <c r="C5" s="5">
        <v>69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35</v>
      </c>
      <c r="N5" s="5">
        <v>4</v>
      </c>
      <c r="O5" s="5"/>
      <c r="P5" s="5">
        <v>2</v>
      </c>
      <c r="Q5" s="5">
        <v>1</v>
      </c>
      <c r="R5" s="5">
        <v>1</v>
      </c>
      <c r="S5" s="5"/>
      <c r="T5" s="5"/>
      <c r="U5" s="5"/>
      <c r="V5" s="5">
        <v>4</v>
      </c>
    </row>
    <row r="6" spans="1:22" ht="19.05" x14ac:dyDescent="0.35">
      <c r="A6" s="6" t="s">
        <v>30</v>
      </c>
      <c r="B6" s="2">
        <v>45432</v>
      </c>
      <c r="C6" s="5">
        <v>33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51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45432</v>
      </c>
      <c r="C7" s="5">
        <v>137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21</v>
      </c>
      <c r="N7" s="5">
        <v>26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45432</v>
      </c>
      <c r="C8" s="5">
        <v>25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31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264</v>
      </c>
      <c r="D16" s="3">
        <f t="shared" ref="D16:V16" si="0">SUM(D4:D15)</f>
        <v>6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138</v>
      </c>
      <c r="N16" s="3">
        <f t="shared" si="0"/>
        <v>47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3</v>
      </c>
      <c r="S16" s="3">
        <f t="shared" si="0"/>
        <v>3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9B42-8D76-487A-9012-406C32C3CA63}">
  <dimension ref="A1:V16"/>
  <sheetViews>
    <sheetView workbookViewId="0">
      <selection sqref="A1:V16"/>
    </sheetView>
  </sheetViews>
  <sheetFormatPr defaultRowHeight="14.3" x14ac:dyDescent="0.25"/>
  <cols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45804</v>
      </c>
      <c r="C5" s="5">
        <v>104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32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45439</v>
      </c>
      <c r="C6" s="5">
        <v>42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19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45073</v>
      </c>
      <c r="C7" s="5">
        <v>124</v>
      </c>
      <c r="D7" s="5"/>
      <c r="E7" s="5"/>
      <c r="F7" s="5"/>
      <c r="G7" s="5"/>
      <c r="H7" s="5"/>
      <c r="I7" s="5"/>
      <c r="J7" s="5"/>
      <c r="K7" s="5"/>
      <c r="L7" s="5"/>
      <c r="M7" s="5">
        <v>19</v>
      </c>
      <c r="N7" s="5">
        <v>20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44708</v>
      </c>
      <c r="C8" s="5">
        <v>23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28</v>
      </c>
      <c r="N8" s="5">
        <v>16</v>
      </c>
      <c r="O8" s="5"/>
      <c r="P8" s="5"/>
      <c r="Q8" s="5">
        <v>5</v>
      </c>
      <c r="R8" s="5">
        <v>1</v>
      </c>
      <c r="S8" s="5"/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293</v>
      </c>
      <c r="D16" s="3">
        <f t="shared" ref="D16:V16" si="0">SUM(D4:D15)</f>
        <v>5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98</v>
      </c>
      <c r="N16" s="3">
        <f t="shared" si="0"/>
        <v>41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10</v>
      </c>
      <c r="S16" s="3">
        <f t="shared" si="0"/>
        <v>4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0A53-A2DB-43F6-BC5C-AEDD11570F77}">
  <dimension ref="A1:V16"/>
  <sheetViews>
    <sheetView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45446</v>
      </c>
      <c r="C5" s="5">
        <v>206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41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45446</v>
      </c>
      <c r="C6" s="5">
        <v>18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61</v>
      </c>
      <c r="N6" s="5">
        <v>1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45446</v>
      </c>
      <c r="C7" s="5">
        <v>120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16</v>
      </c>
      <c r="N7" s="5">
        <v>26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45446</v>
      </c>
      <c r="C8" s="5">
        <v>20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28</v>
      </c>
      <c r="N8" s="5">
        <v>16</v>
      </c>
      <c r="O8" s="5"/>
      <c r="P8" s="5"/>
      <c r="Q8" s="5">
        <v>5</v>
      </c>
      <c r="R8" s="5">
        <v>1</v>
      </c>
      <c r="S8" s="5"/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364</v>
      </c>
      <c r="D16" s="3">
        <f t="shared" ref="D16:V16" si="0">SUM(D4:D15)</f>
        <v>6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146</v>
      </c>
      <c r="N16" s="3">
        <f t="shared" si="0"/>
        <v>47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10</v>
      </c>
      <c r="S16" s="3">
        <f t="shared" si="0"/>
        <v>4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8430-E8D4-46B1-8205-53002681FF48}">
  <dimension ref="A1:V16"/>
  <sheetViews>
    <sheetView topLeftCell="B1"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451" t="s">
        <v>21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3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54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6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45453</v>
      </c>
      <c r="C5" s="5">
        <v>162</v>
      </c>
      <c r="D5" s="5">
        <v>1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38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45453</v>
      </c>
      <c r="C6" s="5">
        <v>24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38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45453</v>
      </c>
      <c r="C7" s="5">
        <v>115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16</v>
      </c>
      <c r="N7" s="5">
        <v>26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45453</v>
      </c>
      <c r="C8" s="5">
        <v>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24</v>
      </c>
      <c r="N8" s="5">
        <v>15</v>
      </c>
      <c r="O8" s="5"/>
      <c r="P8" s="5"/>
      <c r="Q8" s="5">
        <v>5</v>
      </c>
      <c r="R8" s="5">
        <v>1</v>
      </c>
      <c r="S8" s="5"/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309</v>
      </c>
      <c r="D16" s="3">
        <f t="shared" ref="D16:V16" si="0">SUM(D4:D15)</f>
        <v>5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116</v>
      </c>
      <c r="N16" s="3">
        <f t="shared" si="0"/>
        <v>45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10</v>
      </c>
      <c r="S16" s="3">
        <f t="shared" si="0"/>
        <v>4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4">
    <mergeCell ref="A1:L2"/>
    <mergeCell ref="M1:V1"/>
    <mergeCell ref="M2:P2"/>
    <mergeCell ref="Q2:V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63E1-F817-49CC-965A-D44425238A6E}">
  <dimension ref="A1:V16"/>
  <sheetViews>
    <sheetView topLeftCell="B1"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45467</v>
      </c>
      <c r="C5" s="5">
        <v>36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18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45467</v>
      </c>
      <c r="C6" s="5">
        <v>78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100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45467</v>
      </c>
      <c r="C7" s="5">
        <v>102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12</v>
      </c>
      <c r="N7" s="5">
        <v>26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45467</v>
      </c>
      <c r="C8" s="5">
        <v>26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22</v>
      </c>
      <c r="N8" s="5">
        <v>15</v>
      </c>
      <c r="O8" s="5"/>
      <c r="P8" s="5"/>
      <c r="Q8" s="5">
        <v>5</v>
      </c>
      <c r="R8" s="5">
        <v>0</v>
      </c>
      <c r="S8" s="5"/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242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152</v>
      </c>
      <c r="N16" s="3">
        <f t="shared" si="0"/>
        <v>45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4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BCDC-8A6A-43AC-A5E9-068EC7518184}">
  <dimension ref="A1:V16"/>
  <sheetViews>
    <sheetView workbookViewId="0">
      <selection activeCell="D17" sqref="D17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1">
        <v>45474</v>
      </c>
      <c r="C5" s="5">
        <v>30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33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45474</v>
      </c>
      <c r="C6" s="5">
        <v>62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74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45474</v>
      </c>
      <c r="C7" s="5">
        <v>88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11</v>
      </c>
      <c r="N7" s="5">
        <v>21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45474</v>
      </c>
      <c r="C8" s="5">
        <v>19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20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199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138</v>
      </c>
      <c r="N16" s="3">
        <f t="shared" si="0"/>
        <v>41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6741-59ED-4384-99B7-9E98F6AB7CCB}">
  <dimension ref="A1:V16"/>
  <sheetViews>
    <sheetView topLeftCell="D1"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45481</v>
      </c>
      <c r="C5" s="5">
        <v>42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32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45481</v>
      </c>
      <c r="C6" s="5">
        <v>37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29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45481</v>
      </c>
      <c r="C7" s="5">
        <v>73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12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45481</v>
      </c>
      <c r="C8" s="5">
        <v>14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34</v>
      </c>
      <c r="N8" s="5">
        <v>16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166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107</v>
      </c>
      <c r="N16" s="3">
        <f t="shared" si="0"/>
        <v>44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37E9-09AA-4E4E-9050-6E159A68DA7C}">
  <dimension ref="A1:V16"/>
  <sheetViews>
    <sheetView topLeftCell="B1" workbookViewId="0">
      <selection activeCell="C5" sqref="C5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45489</v>
      </c>
      <c r="C5" s="5">
        <v>15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30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45489</v>
      </c>
      <c r="C6" s="5">
        <v>4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7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45489</v>
      </c>
      <c r="C7" s="5">
        <v>18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12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45489</v>
      </c>
      <c r="C8" s="5">
        <v>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33</v>
      </c>
      <c r="N8" s="5">
        <v>15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42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82</v>
      </c>
      <c r="N16" s="3">
        <f t="shared" si="0"/>
        <v>43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32B7-F67E-4EEA-B54F-3D7052FE6533}">
  <dimension ref="A1:V16"/>
  <sheetViews>
    <sheetView workbookViewId="0">
      <selection activeCell="A17" sqref="A5:A17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28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45495</v>
      </c>
      <c r="C5" s="5">
        <v>30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46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45495</v>
      </c>
      <c r="C6" s="5">
        <v>60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23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45495</v>
      </c>
      <c r="C7" s="5">
        <v>132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40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45495</v>
      </c>
      <c r="C8" s="5">
        <v>111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43</v>
      </c>
      <c r="N8" s="5">
        <v>14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333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152</v>
      </c>
      <c r="N16" s="3">
        <f t="shared" si="0"/>
        <v>42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4F08-A2A6-4D42-9944-47EA9E3F32C7}">
  <dimension ref="A1:V16"/>
  <sheetViews>
    <sheetView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34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45502</v>
      </c>
      <c r="C5" s="5">
        <v>135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41</v>
      </c>
      <c r="N5" s="5">
        <v>4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45502</v>
      </c>
      <c r="C6" s="5">
        <v>56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38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45502</v>
      </c>
      <c r="C7" s="5">
        <v>105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37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45502</v>
      </c>
      <c r="C8" s="5">
        <v>102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40</v>
      </c>
      <c r="N8" s="5">
        <v>15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398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156</v>
      </c>
      <c r="N16" s="3">
        <f t="shared" si="0"/>
        <v>43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5DF2-2C64-48F1-B14B-0EB3EB590F50}">
  <dimension ref="A1"/>
  <sheetViews>
    <sheetView workbookViewId="0">
      <selection sqref="A1:V17"/>
    </sheetView>
  </sheetViews>
  <sheetFormatPr defaultRowHeight="14.3" x14ac:dyDescent="0.25"/>
  <cols>
    <col min="1" max="1" width="14.625" bestFit="1" customWidth="1"/>
    <col min="2" max="2" width="11.25" bestFit="1" customWidth="1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C90C-251B-41B4-BC07-89779BE86207}">
  <dimension ref="A1:V16"/>
  <sheetViews>
    <sheetView topLeftCell="B1" workbookViewId="0">
      <selection activeCell="B1" sqref="B1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46" t="s">
        <v>21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45516</v>
      </c>
      <c r="C5" s="5">
        <v>70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35</v>
      </c>
      <c r="N5" s="5">
        <v>3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45516</v>
      </c>
      <c r="C6" s="5">
        <v>43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46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45516</v>
      </c>
      <c r="C7" s="5">
        <v>70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30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45516</v>
      </c>
      <c r="C8" s="5">
        <v>89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37</v>
      </c>
      <c r="N8" s="5">
        <v>15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>SUM(C4:C15)</f>
        <v>272</v>
      </c>
      <c r="D16" s="3">
        <f t="shared" ref="D16:V16" si="0">SUM(D4:D15)</f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148</v>
      </c>
      <c r="N16" s="3">
        <f t="shared" si="0"/>
        <v>42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50DE-3CB5-4D71-B682-8A06657F5398}">
  <dimension ref="A1:V16"/>
  <sheetViews>
    <sheetView workbookViewId="0">
      <selection sqref="A1:V16"/>
    </sheetView>
  </sheetViews>
  <sheetFormatPr defaultRowHeight="14.3" x14ac:dyDescent="0.25"/>
  <cols>
    <col min="1" max="1" width="14.625" bestFit="1" customWidth="1"/>
    <col min="2" max="2" width="11.25" bestFit="1" customWidth="1"/>
  </cols>
  <sheetData>
    <row r="1" spans="1:22" x14ac:dyDescent="0.25">
      <c r="A1" s="40" t="s">
        <v>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45523</v>
      </c>
      <c r="C5" s="5">
        <v>54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35</v>
      </c>
      <c r="N5" s="5">
        <v>3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45523</v>
      </c>
      <c r="C6" s="5">
        <v>31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21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45523</v>
      </c>
      <c r="C7" s="5">
        <v>58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27</v>
      </c>
      <c r="N7" s="5">
        <v>24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45523</v>
      </c>
      <c r="C8" s="5">
        <v>80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35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223</v>
      </c>
      <c r="D16" s="3">
        <f t="shared" si="0"/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118</v>
      </c>
      <c r="N16" s="3">
        <f t="shared" si="0"/>
        <v>40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9AA8-4058-422F-BFC3-F1D8C3082FD9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52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45530</v>
      </c>
      <c r="C5" s="5">
        <v>39</v>
      </c>
      <c r="D5" s="5">
        <v>3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33</v>
      </c>
      <c r="N5" s="5">
        <v>3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45530</v>
      </c>
      <c r="C6" s="5">
        <v>27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13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45530</v>
      </c>
      <c r="C7" s="5">
        <v>44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25</v>
      </c>
      <c r="N7" s="5">
        <v>22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45530</v>
      </c>
      <c r="C8" s="5">
        <v>78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32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188</v>
      </c>
      <c r="D16" s="3">
        <f t="shared" si="0"/>
        <v>7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103</v>
      </c>
      <c r="N16" s="3">
        <f t="shared" si="0"/>
        <v>38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446E-6AC3-4557-9C2F-21D73BF1CD28}">
  <dimension ref="A1:V16"/>
  <sheetViews>
    <sheetView workbookViewId="0">
      <selection sqref="A1:V16"/>
    </sheetView>
  </sheetViews>
  <sheetFormatPr defaultRowHeight="14.3" x14ac:dyDescent="0.25"/>
  <cols>
    <col min="2" max="2" width="11.375" bestFit="1" customWidth="1"/>
  </cols>
  <sheetData>
    <row r="1" spans="1:22" x14ac:dyDescent="0.25">
      <c r="A1" s="58" t="s">
        <v>21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45558</v>
      </c>
      <c r="C5" s="5">
        <v>75</v>
      </c>
      <c r="D5" s="5">
        <v>1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68</v>
      </c>
      <c r="N5" s="5">
        <v>2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45558</v>
      </c>
      <c r="C6" s="5">
        <v>62</v>
      </c>
      <c r="D6" s="5">
        <v>1</v>
      </c>
      <c r="E6" s="5"/>
      <c r="F6" s="5"/>
      <c r="G6" s="5">
        <v>1</v>
      </c>
      <c r="H6" s="5"/>
      <c r="I6" s="5"/>
      <c r="J6" s="5"/>
      <c r="K6" s="5"/>
      <c r="L6" s="5"/>
      <c r="M6" s="5">
        <v>68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45558</v>
      </c>
      <c r="C7" s="5">
        <v>9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14</v>
      </c>
      <c r="N7" s="5">
        <v>19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45558</v>
      </c>
      <c r="C8" s="5">
        <v>25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13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171</v>
      </c>
      <c r="D16" s="3">
        <f t="shared" si="0"/>
        <v>5</v>
      </c>
      <c r="E16" s="3">
        <f t="shared" si="0"/>
        <v>5</v>
      </c>
      <c r="F16" s="3">
        <f t="shared" si="0"/>
        <v>4</v>
      </c>
      <c r="G16" s="3">
        <f t="shared" si="0"/>
        <v>3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163</v>
      </c>
      <c r="N16" s="3">
        <f t="shared" si="0"/>
        <v>34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8426-7549-4EA8-9C9E-A9E1C467949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64" t="s">
        <v>21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45565</v>
      </c>
      <c r="C5" s="5">
        <v>11</v>
      </c>
      <c r="D5" s="5">
        <v>1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67</v>
      </c>
      <c r="N5" s="5">
        <v>1</v>
      </c>
      <c r="O5" s="5"/>
      <c r="P5" s="5">
        <v>2</v>
      </c>
      <c r="Q5" s="5">
        <v>1</v>
      </c>
      <c r="R5" s="5">
        <v>7</v>
      </c>
      <c r="S5" s="5">
        <v>2</v>
      </c>
      <c r="T5" s="5"/>
      <c r="U5" s="5"/>
      <c r="V5" s="5">
        <v>4</v>
      </c>
    </row>
    <row r="6" spans="1:22" ht="19.05" x14ac:dyDescent="0.35">
      <c r="A6" s="6" t="s">
        <v>30</v>
      </c>
      <c r="B6" s="2">
        <v>45412</v>
      </c>
      <c r="C6" s="5">
        <v>51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48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45412</v>
      </c>
      <c r="C7" s="5">
        <v>63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40</v>
      </c>
      <c r="N7" s="5">
        <v>19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45412</v>
      </c>
      <c r="C8" s="5">
        <v>78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55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203</v>
      </c>
      <c r="D16" s="3">
        <f t="shared" si="0"/>
        <v>5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210</v>
      </c>
      <c r="N16" s="3">
        <f t="shared" si="0"/>
        <v>33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5</v>
      </c>
      <c r="T16" s="3">
        <f t="shared" si="0"/>
        <v>0</v>
      </c>
      <c r="U16" s="3">
        <f t="shared" si="0"/>
        <v>0</v>
      </c>
      <c r="V16" s="3">
        <f t="shared" si="0"/>
        <v>6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70E1-E6E9-4A30-A6FE-B4240FCF2036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70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45572</v>
      </c>
      <c r="C5" s="5">
        <v>26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62</v>
      </c>
      <c r="N5" s="5">
        <v>1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45572</v>
      </c>
      <c r="C6" s="5">
        <v>35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43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45572</v>
      </c>
      <c r="C7" s="5">
        <v>30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32</v>
      </c>
      <c r="N7" s="5">
        <v>18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45572</v>
      </c>
      <c r="C8" s="5">
        <v>45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50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136</v>
      </c>
      <c r="D16" s="3">
        <f t="shared" si="0"/>
        <v>6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187</v>
      </c>
      <c r="N16" s="3">
        <f t="shared" si="0"/>
        <v>32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BD94-C089-4472-98CF-0B832B47C12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76" t="s">
        <v>21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45579</v>
      </c>
      <c r="C5" s="5">
        <v>129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62</v>
      </c>
      <c r="N5" s="5">
        <v>1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45579</v>
      </c>
      <c r="C6" s="5">
        <v>38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48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45579</v>
      </c>
      <c r="C7" s="5">
        <v>116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43</v>
      </c>
      <c r="N7" s="5">
        <v>18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45579</v>
      </c>
      <c r="C8" s="5">
        <v>30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45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313</v>
      </c>
      <c r="D16" s="3">
        <f t="shared" si="0"/>
        <v>6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198</v>
      </c>
      <c r="N16" s="3">
        <f t="shared" si="0"/>
        <v>32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1107-DE1F-43AF-887F-DB7DFAE86BC9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82" t="s">
        <v>21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45586</v>
      </c>
      <c r="C5" s="5">
        <v>107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55</v>
      </c>
      <c r="N5" s="5">
        <v>6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45586</v>
      </c>
      <c r="C6" s="5">
        <v>99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68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45586</v>
      </c>
      <c r="C7" s="5">
        <v>75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35</v>
      </c>
      <c r="N7" s="5">
        <v>18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45586</v>
      </c>
      <c r="C8" s="5">
        <v>78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38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359</v>
      </c>
      <c r="D16" s="3">
        <f t="shared" si="0"/>
        <v>6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196</v>
      </c>
      <c r="N16" s="3">
        <f t="shared" si="0"/>
        <v>37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915A-544A-4664-9FE9-4C0416BDE5D4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88" t="s">
        <v>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45593</v>
      </c>
      <c r="C5" s="5">
        <v>87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48</v>
      </c>
      <c r="N5" s="5">
        <v>6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45593</v>
      </c>
      <c r="C6" s="5">
        <v>85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41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45593</v>
      </c>
      <c r="C7" s="5">
        <v>38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23</v>
      </c>
      <c r="N7" s="5">
        <v>17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45593</v>
      </c>
      <c r="C8" s="5">
        <v>70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32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280</v>
      </c>
      <c r="D16" s="3">
        <f t="shared" si="0"/>
        <v>6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144</v>
      </c>
      <c r="N16" s="3">
        <f t="shared" si="0"/>
        <v>36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7522-2A00-4420-BA11-E8DA05F15B0F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94" t="s">
        <v>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97"/>
      <c r="B2" s="98"/>
      <c r="C2" s="98"/>
      <c r="D2" s="98"/>
      <c r="E2" s="98"/>
      <c r="F2" s="98"/>
      <c r="G2" s="98"/>
      <c r="H2" s="98"/>
      <c r="I2" s="98"/>
      <c r="J2" s="98"/>
      <c r="K2" s="98"/>
      <c r="L2" s="9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45600</v>
      </c>
      <c r="C5" s="5">
        <v>85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46</v>
      </c>
      <c r="N5" s="5">
        <v>6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45600</v>
      </c>
      <c r="C6" s="5">
        <v>61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93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45600</v>
      </c>
      <c r="C7" s="5">
        <v>145</v>
      </c>
      <c r="D7" s="5">
        <v>1</v>
      </c>
      <c r="E7" s="5"/>
      <c r="F7" s="5"/>
      <c r="G7" s="5">
        <v>1</v>
      </c>
      <c r="H7" s="5"/>
      <c r="I7" s="5"/>
      <c r="J7" s="5"/>
      <c r="K7" s="5"/>
      <c r="L7" s="5"/>
      <c r="M7" s="5">
        <v>47</v>
      </c>
      <c r="N7" s="5">
        <v>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45600</v>
      </c>
      <c r="C8" s="5">
        <v>52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26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343</v>
      </c>
      <c r="D16" s="3">
        <f t="shared" si="0"/>
        <v>6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212</v>
      </c>
      <c r="N16" s="3">
        <f t="shared" si="0"/>
        <v>28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4751-FE1B-4EC2-9104-34D5EA071B5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00" t="s">
        <v>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45607</v>
      </c>
      <c r="C5" s="5">
        <v>71</v>
      </c>
      <c r="D5" s="5">
        <v>2</v>
      </c>
      <c r="E5" s="5">
        <v>4</v>
      </c>
      <c r="F5" s="5">
        <v>3</v>
      </c>
      <c r="G5" s="5">
        <v>1</v>
      </c>
      <c r="H5" s="5"/>
      <c r="I5" s="5"/>
      <c r="J5" s="5"/>
      <c r="K5" s="5"/>
      <c r="L5" s="5"/>
      <c r="M5" s="5">
        <v>43</v>
      </c>
      <c r="N5" s="5">
        <v>6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45607</v>
      </c>
      <c r="C6" s="5">
        <v>54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31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45607</v>
      </c>
      <c r="C7" s="5">
        <v>86</v>
      </c>
      <c r="D7" s="5"/>
      <c r="E7" s="5"/>
      <c r="F7" s="5"/>
      <c r="G7" s="5">
        <v>1</v>
      </c>
      <c r="H7" s="5"/>
      <c r="I7" s="5"/>
      <c r="J7" s="5"/>
      <c r="K7" s="5"/>
      <c r="L7" s="5"/>
      <c r="M7" s="5">
        <v>40</v>
      </c>
      <c r="N7" s="5">
        <v>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45607</v>
      </c>
      <c r="C8" s="5">
        <v>36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13</v>
      </c>
      <c r="N8" s="5">
        <v>13</v>
      </c>
      <c r="O8" s="5"/>
      <c r="P8" s="5"/>
      <c r="Q8" s="5">
        <v>5</v>
      </c>
      <c r="R8" s="5"/>
      <c r="S8" s="5">
        <v>1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247</v>
      </c>
      <c r="D16" s="3">
        <f t="shared" si="0"/>
        <v>5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127</v>
      </c>
      <c r="N16" s="3">
        <f t="shared" si="0"/>
        <v>27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7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F605-FFCE-4669-9CA3-EEEFBBBB5584}">
  <dimension ref="A1:V16"/>
  <sheetViews>
    <sheetView workbookViewId="0">
      <selection activeCell="B5" sqref="B5:B8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06" t="s">
        <v>21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45614</v>
      </c>
      <c r="C5" s="5">
        <v>31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23</v>
      </c>
      <c r="N5" s="5">
        <v>5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45614</v>
      </c>
      <c r="C6" s="5">
        <v>47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11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45614</v>
      </c>
      <c r="C7" s="5">
        <v>16</v>
      </c>
      <c r="D7" s="5"/>
      <c r="E7" s="5"/>
      <c r="F7" s="5"/>
      <c r="G7" s="5">
        <v>1</v>
      </c>
      <c r="H7" s="5"/>
      <c r="I7" s="5"/>
      <c r="J7" s="5"/>
      <c r="K7" s="5"/>
      <c r="L7" s="5"/>
      <c r="M7" s="5">
        <v>16</v>
      </c>
      <c r="N7" s="5">
        <v>5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45614</v>
      </c>
      <c r="C8" s="5">
        <v>52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37</v>
      </c>
      <c r="N8" s="5">
        <v>13</v>
      </c>
      <c r="O8" s="5"/>
      <c r="P8" s="5"/>
      <c r="Q8" s="5">
        <v>5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146</v>
      </c>
      <c r="D16" s="3">
        <f t="shared" si="0"/>
        <v>5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87</v>
      </c>
      <c r="N16" s="3">
        <f t="shared" si="0"/>
        <v>25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63C6-9130-4C68-8F25-F4F678AC8F52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12" t="s">
        <v>21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45621</v>
      </c>
      <c r="C5" s="5">
        <v>31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23</v>
      </c>
      <c r="N5" s="5">
        <v>5</v>
      </c>
      <c r="O5" s="5"/>
      <c r="P5" s="5">
        <v>2</v>
      </c>
      <c r="Q5" s="5">
        <v>1</v>
      </c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45621</v>
      </c>
      <c r="C6" s="5">
        <v>47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11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45621</v>
      </c>
      <c r="C7" s="5">
        <v>16</v>
      </c>
      <c r="D7" s="5"/>
      <c r="E7" s="5"/>
      <c r="F7" s="5"/>
      <c r="G7" s="5">
        <v>1</v>
      </c>
      <c r="H7" s="5"/>
      <c r="I7" s="5"/>
      <c r="J7" s="5"/>
      <c r="K7" s="5"/>
      <c r="L7" s="5"/>
      <c r="M7" s="5">
        <v>16</v>
      </c>
      <c r="N7" s="5">
        <v>5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45621</v>
      </c>
      <c r="C8" s="5">
        <v>52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37</v>
      </c>
      <c r="N8" s="5">
        <v>13</v>
      </c>
      <c r="O8" s="5"/>
      <c r="P8" s="5"/>
      <c r="Q8" s="5">
        <v>5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146</v>
      </c>
      <c r="D16" s="3">
        <f t="shared" si="0"/>
        <v>5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87</v>
      </c>
      <c r="N16" s="3">
        <f t="shared" si="0"/>
        <v>25</v>
      </c>
      <c r="O16" s="3">
        <f t="shared" si="0"/>
        <v>0</v>
      </c>
      <c r="P16" s="3">
        <f t="shared" si="0"/>
        <v>14</v>
      </c>
      <c r="Q16" s="3">
        <f t="shared" si="0"/>
        <v>10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1AC4-ADA2-43C4-9C9E-F833F6EAE07B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18" t="s">
        <v>21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45628</v>
      </c>
      <c r="C5" s="5">
        <v>86</v>
      </c>
      <c r="D5" s="5">
        <v>1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39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45628</v>
      </c>
      <c r="C6" s="5">
        <v>42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7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45628</v>
      </c>
      <c r="C7" s="5">
        <v>110</v>
      </c>
      <c r="D7" s="5"/>
      <c r="E7" s="5"/>
      <c r="F7" s="5"/>
      <c r="G7" s="5">
        <v>1</v>
      </c>
      <c r="H7" s="5"/>
      <c r="I7" s="5"/>
      <c r="J7" s="5"/>
      <c r="K7" s="5"/>
      <c r="L7" s="5"/>
      <c r="M7" s="5">
        <v>51</v>
      </c>
      <c r="N7" s="5">
        <v>5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45628</v>
      </c>
      <c r="C8" s="5">
        <v>30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26</v>
      </c>
      <c r="N8" s="5">
        <v>13</v>
      </c>
      <c r="O8" s="5"/>
      <c r="P8" s="5"/>
      <c r="Q8" s="5">
        <v>5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268</v>
      </c>
      <c r="D16" s="3">
        <f t="shared" si="0"/>
        <v>4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123</v>
      </c>
      <c r="N16" s="3">
        <f t="shared" si="0"/>
        <v>25</v>
      </c>
      <c r="O16" s="3">
        <f t="shared" si="0"/>
        <v>0</v>
      </c>
      <c r="P16" s="3">
        <f t="shared" si="0"/>
        <v>14</v>
      </c>
      <c r="Q16" s="3">
        <f t="shared" si="0"/>
        <v>9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2F00-FCA7-4A21-9F51-383EDFFB3BC0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24" t="s">
        <v>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45656</v>
      </c>
      <c r="C5" s="5">
        <v>81</v>
      </c>
      <c r="D5" s="5">
        <v>1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23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45656</v>
      </c>
      <c r="C6" s="5">
        <v>34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25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45656</v>
      </c>
      <c r="C7" s="5">
        <v>88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19</v>
      </c>
      <c r="N7" s="5">
        <v>18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45656</v>
      </c>
      <c r="C8" s="5">
        <v>46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44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249</v>
      </c>
      <c r="D16" s="3">
        <f t="shared" si="0"/>
        <v>6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111</v>
      </c>
      <c r="N16" s="3">
        <f t="shared" si="0"/>
        <v>36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D2E4-D897-4BA6-B94E-D4497F4D42F7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30" t="s">
        <v>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45663</v>
      </c>
      <c r="C5" s="5">
        <v>68</v>
      </c>
      <c r="D5" s="5">
        <v>1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37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45663</v>
      </c>
      <c r="C6" s="5">
        <v>34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24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45663</v>
      </c>
      <c r="C7" s="5">
        <v>89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16</v>
      </c>
      <c r="N7" s="5">
        <v>17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45663</v>
      </c>
      <c r="C8" s="5">
        <v>46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35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237</v>
      </c>
      <c r="D16" s="3">
        <f t="shared" si="0"/>
        <v>6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112</v>
      </c>
      <c r="N16" s="3">
        <f t="shared" si="0"/>
        <v>35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B4E5-14B9-4B57-9B18-FE67799048DC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36" t="s">
        <v>21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45670</v>
      </c>
      <c r="C5" s="5">
        <v>40</v>
      </c>
      <c r="D5" s="5"/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31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45670</v>
      </c>
      <c r="C6" s="5">
        <v>34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45670</v>
      </c>
      <c r="C7" s="5">
        <v>77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16</v>
      </c>
      <c r="N7" s="5">
        <v>17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45670</v>
      </c>
      <c r="C8" s="5">
        <v>37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30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188</v>
      </c>
      <c r="D16" s="3">
        <f t="shared" si="0"/>
        <v>5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95</v>
      </c>
      <c r="N16" s="3">
        <f t="shared" si="0"/>
        <v>35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59F3-FA10-4B4B-8E96-9AB7B5B7827B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42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45677</v>
      </c>
      <c r="C5" s="5">
        <v>62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27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45677</v>
      </c>
      <c r="C6" s="5">
        <v>34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15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45677</v>
      </c>
      <c r="C7" s="5">
        <v>47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11</v>
      </c>
      <c r="N7" s="5">
        <v>16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45677</v>
      </c>
      <c r="C8" s="5">
        <v>27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29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170</v>
      </c>
      <c r="D16" s="3">
        <f t="shared" si="0"/>
        <v>7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82</v>
      </c>
      <c r="N16" s="3">
        <f t="shared" si="0"/>
        <v>34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E265-8820-47E0-A999-FC1BA6097D78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48" t="s">
        <v>21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45684</v>
      </c>
      <c r="C5" s="5">
        <v>55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23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45684</v>
      </c>
      <c r="C6" s="5">
        <v>31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11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45684</v>
      </c>
      <c r="C7" s="5">
        <v>34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9</v>
      </c>
      <c r="N7" s="5">
        <v>16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45684</v>
      </c>
      <c r="C8" s="5">
        <v>19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28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139</v>
      </c>
      <c r="D16" s="3">
        <f t="shared" si="0"/>
        <v>7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71</v>
      </c>
      <c r="N16" s="3">
        <f t="shared" si="0"/>
        <v>34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F5CE-9442-46C0-89B2-14A64638F308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54" t="s">
        <v>21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45691</v>
      </c>
      <c r="C5" s="5">
        <v>36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16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45691</v>
      </c>
      <c r="C6" s="5">
        <v>31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17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45691</v>
      </c>
      <c r="C7" s="5">
        <v>23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9</v>
      </c>
      <c r="N7" s="5">
        <v>16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45691</v>
      </c>
      <c r="C8" s="5">
        <v>14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25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104</v>
      </c>
      <c r="D16" s="3">
        <f t="shared" si="0"/>
        <v>7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67</v>
      </c>
      <c r="N16" s="3">
        <f t="shared" si="0"/>
        <v>34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5D9B-D149-4C94-829E-9DAEB96EDF32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60" t="s">
        <v>21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45698</v>
      </c>
      <c r="C5" s="5">
        <v>28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17</v>
      </c>
      <c r="N5" s="5">
        <v>5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45698</v>
      </c>
      <c r="C6" s="5">
        <v>31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16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45698</v>
      </c>
      <c r="C7" s="5">
        <v>17</v>
      </c>
      <c r="D7" s="5">
        <v>2</v>
      </c>
      <c r="E7" s="5">
        <v>1</v>
      </c>
      <c r="F7" s="5">
        <v>1</v>
      </c>
      <c r="G7" s="5">
        <v>1</v>
      </c>
      <c r="H7" s="5"/>
      <c r="I7" s="5"/>
      <c r="J7" s="5"/>
      <c r="K7" s="5"/>
      <c r="L7" s="5"/>
      <c r="M7" s="5">
        <v>8</v>
      </c>
      <c r="N7" s="5">
        <v>16</v>
      </c>
      <c r="O7" s="5"/>
      <c r="P7" s="5">
        <v>12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45698</v>
      </c>
      <c r="C8" s="5">
        <v>11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24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87</v>
      </c>
      <c r="D16" s="3">
        <f t="shared" si="0"/>
        <v>7</v>
      </c>
      <c r="E16" s="3">
        <f t="shared" si="0"/>
        <v>6</v>
      </c>
      <c r="F16" s="3">
        <f t="shared" si="0"/>
        <v>5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65</v>
      </c>
      <c r="N16" s="3">
        <f t="shared" si="0"/>
        <v>34</v>
      </c>
      <c r="O16" s="3">
        <f t="shared" si="0"/>
        <v>0</v>
      </c>
      <c r="P16" s="3">
        <f t="shared" si="0"/>
        <v>14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B3D2-2FD8-4F8E-8FD3-2D39B71EB0F0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66" t="s">
        <v>21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45705</v>
      </c>
      <c r="C5" s="5">
        <v>17</v>
      </c>
      <c r="D5" s="5">
        <v>2</v>
      </c>
      <c r="E5" s="5">
        <v>4</v>
      </c>
      <c r="F5" s="5">
        <v>3</v>
      </c>
      <c r="G5" s="5"/>
      <c r="H5" s="5"/>
      <c r="I5" s="5"/>
      <c r="J5" s="5"/>
      <c r="K5" s="5"/>
      <c r="L5" s="5"/>
      <c r="M5" s="5">
        <v>10</v>
      </c>
      <c r="N5" s="5">
        <v>4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45705</v>
      </c>
      <c r="C6" s="5">
        <v>23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14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45705</v>
      </c>
      <c r="C7" s="5">
        <v>125</v>
      </c>
      <c r="D7" s="5">
        <v>1</v>
      </c>
      <c r="E7" s="5"/>
      <c r="F7" s="5">
        <v>1</v>
      </c>
      <c r="G7" s="5"/>
      <c r="H7" s="5"/>
      <c r="I7" s="5"/>
      <c r="J7" s="5"/>
      <c r="K7" s="5"/>
      <c r="L7" s="5"/>
      <c r="M7" s="5">
        <v>37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45705</v>
      </c>
      <c r="C8" s="5">
        <v>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21</v>
      </c>
      <c r="N8" s="5">
        <v>13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173</v>
      </c>
      <c r="D16" s="3">
        <f t="shared" si="0"/>
        <v>6</v>
      </c>
      <c r="E16" s="3">
        <f t="shared" si="0"/>
        <v>5</v>
      </c>
      <c r="F16" s="3">
        <f t="shared" si="0"/>
        <v>5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82</v>
      </c>
      <c r="N16" s="3">
        <f t="shared" si="0"/>
        <v>33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00BD-7498-4122-A6A0-0FC8D8A6C730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72" t="s">
        <v>21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45712</v>
      </c>
      <c r="C5" s="5">
        <v>76</v>
      </c>
      <c r="D5" s="5">
        <v>2</v>
      </c>
      <c r="E5" s="5">
        <v>3</v>
      </c>
      <c r="F5" s="5">
        <v>3</v>
      </c>
      <c r="G5" s="5"/>
      <c r="H5" s="5"/>
      <c r="I5" s="5"/>
      <c r="J5" s="5"/>
      <c r="K5" s="5"/>
      <c r="L5" s="5"/>
      <c r="M5" s="5">
        <v>9</v>
      </c>
      <c r="N5" s="5">
        <v>4</v>
      </c>
      <c r="O5" s="5"/>
      <c r="P5" s="5">
        <v>2</v>
      </c>
      <c r="Q5" s="5"/>
      <c r="R5" s="5">
        <v>7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45712</v>
      </c>
      <c r="C6" s="5">
        <v>27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13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45712</v>
      </c>
      <c r="C7" s="5">
        <v>120</v>
      </c>
      <c r="D7" s="5">
        <v>1</v>
      </c>
      <c r="E7" s="5"/>
      <c r="F7" s="5">
        <v>1</v>
      </c>
      <c r="G7" s="5"/>
      <c r="H7" s="5"/>
      <c r="I7" s="5"/>
      <c r="J7" s="5"/>
      <c r="K7" s="5"/>
      <c r="L7" s="5"/>
      <c r="M7" s="5">
        <v>37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45712</v>
      </c>
      <c r="C8" s="5">
        <v>68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32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291</v>
      </c>
      <c r="D16" s="3">
        <f t="shared" si="0"/>
        <v>6</v>
      </c>
      <c r="E16" s="3">
        <f t="shared" si="0"/>
        <v>4</v>
      </c>
      <c r="F16" s="3">
        <f t="shared" si="0"/>
        <v>5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91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9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F5C5-8169-40C3-B968-1CF8A3A36BB1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78" t="s">
        <v>21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8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81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45719</v>
      </c>
      <c r="C5" s="5">
        <v>69</v>
      </c>
      <c r="D5" s="5">
        <v>2</v>
      </c>
      <c r="E5" s="5">
        <v>3</v>
      </c>
      <c r="F5" s="5">
        <v>3</v>
      </c>
      <c r="G5" s="5"/>
      <c r="H5" s="5"/>
      <c r="I5" s="5"/>
      <c r="J5" s="5"/>
      <c r="K5" s="5"/>
      <c r="L5" s="5"/>
      <c r="M5" s="5">
        <v>7</v>
      </c>
      <c r="N5" s="5">
        <v>4</v>
      </c>
      <c r="O5" s="5"/>
      <c r="P5" s="5">
        <v>2</v>
      </c>
      <c r="Q5" s="5">
        <v>1</v>
      </c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45719</v>
      </c>
      <c r="C6" s="5">
        <v>24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8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45719</v>
      </c>
      <c r="C7" s="5">
        <v>116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35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45719</v>
      </c>
      <c r="C8" s="5">
        <v>66</v>
      </c>
      <c r="D8" s="5">
        <v>2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28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275</v>
      </c>
      <c r="D16" s="3">
        <f t="shared" si="0"/>
        <v>5</v>
      </c>
      <c r="E16" s="3">
        <f t="shared" si="0"/>
        <v>4</v>
      </c>
      <c r="F16" s="3">
        <f t="shared" si="0"/>
        <v>5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78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8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7799-5B6A-49D7-8B3D-D9B751DD2EEB}">
  <dimension ref="A1:V16"/>
  <sheetViews>
    <sheetView workbookViewId="0">
      <selection sqref="A1:V17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84" t="s">
        <v>21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45726</v>
      </c>
      <c r="C5" s="5">
        <v>58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21</v>
      </c>
      <c r="N5" s="5">
        <v>4</v>
      </c>
      <c r="O5" s="5"/>
      <c r="P5" s="5">
        <v>2</v>
      </c>
      <c r="Q5" s="5">
        <v>1</v>
      </c>
      <c r="R5" s="5">
        <v>5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45726</v>
      </c>
      <c r="C6" s="5">
        <v>21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21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45726</v>
      </c>
      <c r="C7" s="5">
        <v>102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30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45726</v>
      </c>
      <c r="C8" s="5">
        <v>53</v>
      </c>
      <c r="D8" s="5">
        <v>1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28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234</v>
      </c>
      <c r="D16" s="3">
        <f t="shared" si="0"/>
        <v>3</v>
      </c>
      <c r="E16" s="3">
        <f t="shared" si="0"/>
        <v>4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100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8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2402-FE25-40BA-86AF-096DC824872D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90" t="s">
        <v>21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93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45733</v>
      </c>
      <c r="C5" s="5">
        <v>44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17</v>
      </c>
      <c r="N5" s="5">
        <v>4</v>
      </c>
      <c r="O5" s="5"/>
      <c r="P5" s="5">
        <v>2</v>
      </c>
      <c r="Q5" s="5">
        <v>1</v>
      </c>
      <c r="R5" s="5">
        <v>5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45733</v>
      </c>
      <c r="C6" s="5">
        <v>16</v>
      </c>
      <c r="D6" s="5">
        <v>1</v>
      </c>
      <c r="E6" s="5"/>
      <c r="F6" s="5"/>
      <c r="G6" s="5"/>
      <c r="H6" s="5"/>
      <c r="I6" s="5"/>
      <c r="J6" s="5"/>
      <c r="K6" s="5"/>
      <c r="L6" s="5"/>
      <c r="M6" s="5">
        <v>17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45733</v>
      </c>
      <c r="C7" s="5">
        <v>96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22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45733</v>
      </c>
      <c r="C8" s="5">
        <v>54</v>
      </c>
      <c r="D8" s="5">
        <v>1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27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210</v>
      </c>
      <c r="D16" s="3">
        <f t="shared" si="0"/>
        <v>3</v>
      </c>
      <c r="E16" s="3">
        <f t="shared" si="0"/>
        <v>4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83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8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FCE7-6CA5-405C-A6DC-6EEF6F31C92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196" t="s">
        <v>21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199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45740</v>
      </c>
      <c r="C5" s="5">
        <v>40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14</v>
      </c>
      <c r="N5" s="5">
        <v>4</v>
      </c>
      <c r="O5" s="5"/>
      <c r="P5" s="5">
        <v>2</v>
      </c>
      <c r="Q5" s="5">
        <v>1</v>
      </c>
      <c r="R5" s="5">
        <v>5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45740</v>
      </c>
      <c r="C6" s="5">
        <v>7</v>
      </c>
      <c r="D6" s="5"/>
      <c r="E6" s="5"/>
      <c r="F6" s="5"/>
      <c r="G6" s="5"/>
      <c r="H6" s="5"/>
      <c r="I6" s="5"/>
      <c r="J6" s="5"/>
      <c r="K6" s="5"/>
      <c r="L6" s="5"/>
      <c r="M6" s="5">
        <v>5</v>
      </c>
      <c r="N6" s="5"/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45740</v>
      </c>
      <c r="C7" s="5">
        <v>87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22</v>
      </c>
      <c r="N7" s="5">
        <v>16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45740</v>
      </c>
      <c r="C8" s="5">
        <v>51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23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185</v>
      </c>
      <c r="D16" s="3">
        <f t="shared" si="0"/>
        <v>2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64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8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C216-F335-40EE-BD57-004A3132EAD6}">
  <dimension ref="A1:V16"/>
  <sheetViews>
    <sheetView workbookViewId="0">
      <selection activeCell="O11" sqref="O11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02" t="s">
        <v>21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05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45754</v>
      </c>
      <c r="C5" s="5">
        <v>35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11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45754</v>
      </c>
      <c r="C6" s="5">
        <v>171</v>
      </c>
      <c r="D6" s="5"/>
      <c r="E6" s="5"/>
      <c r="F6" s="5"/>
      <c r="G6" s="5"/>
      <c r="H6" s="5"/>
      <c r="I6" s="5"/>
      <c r="J6" s="5"/>
      <c r="K6" s="5"/>
      <c r="L6" s="5"/>
      <c r="M6" s="5">
        <v>35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45754</v>
      </c>
      <c r="C7" s="5">
        <v>79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27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45754</v>
      </c>
      <c r="C8" s="5">
        <v>213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23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498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96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6AD2-F09F-48F5-BEDD-D2AD9D227BC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208" t="s">
        <v>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1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11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45754</v>
      </c>
      <c r="C5" s="5">
        <v>35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11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45754</v>
      </c>
      <c r="C6" s="5">
        <v>171</v>
      </c>
      <c r="D6" s="5"/>
      <c r="E6" s="5"/>
      <c r="F6" s="5"/>
      <c r="G6" s="5"/>
      <c r="H6" s="5"/>
      <c r="I6" s="5"/>
      <c r="J6" s="5"/>
      <c r="K6" s="5"/>
      <c r="L6" s="5"/>
      <c r="M6" s="5">
        <v>35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45754</v>
      </c>
      <c r="C7" s="5">
        <v>79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27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45754</v>
      </c>
      <c r="C8" s="5">
        <v>213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23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498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96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9BA4-BB41-4CC7-B439-4B340251C08F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14" t="s">
        <v>21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45761</v>
      </c>
      <c r="C5" s="5">
        <v>34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9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45761</v>
      </c>
      <c r="C6" s="5">
        <v>171</v>
      </c>
      <c r="D6" s="5"/>
      <c r="E6" s="5"/>
      <c r="F6" s="5"/>
      <c r="G6" s="5"/>
      <c r="H6" s="5"/>
      <c r="I6" s="5"/>
      <c r="J6" s="5"/>
      <c r="K6" s="5"/>
      <c r="L6" s="5"/>
      <c r="M6" s="5">
        <v>34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45761</v>
      </c>
      <c r="C7" s="5">
        <v>71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27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45761</v>
      </c>
      <c r="C8" s="5">
        <v>210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20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486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90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F68F-5716-4269-AA9F-58A0B743921F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20" t="s">
        <v>21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2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45768</v>
      </c>
      <c r="C5" s="5">
        <v>25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20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45768</v>
      </c>
      <c r="C6" s="5">
        <v>162</v>
      </c>
      <c r="D6" s="5"/>
      <c r="E6" s="5"/>
      <c r="F6" s="5"/>
      <c r="G6" s="5"/>
      <c r="H6" s="5"/>
      <c r="I6" s="5"/>
      <c r="J6" s="5"/>
      <c r="K6" s="5"/>
      <c r="L6" s="5"/>
      <c r="M6" s="5">
        <v>13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45768</v>
      </c>
      <c r="C7" s="5">
        <v>69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33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45768</v>
      </c>
      <c r="C8" s="5">
        <v>202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20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458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86</v>
      </c>
      <c r="N16" s="3">
        <f t="shared" si="0"/>
        <v>35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745C-D114-4094-B935-FD67E0255EE4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26" t="s">
        <v>21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29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45775</v>
      </c>
      <c r="C5" s="5">
        <v>21</v>
      </c>
      <c r="D5" s="5">
        <v>2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19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45775</v>
      </c>
      <c r="C6" s="5">
        <v>156</v>
      </c>
      <c r="D6" s="5"/>
      <c r="E6" s="5"/>
      <c r="F6" s="5"/>
      <c r="G6" s="5"/>
      <c r="H6" s="5"/>
      <c r="I6" s="5"/>
      <c r="J6" s="5"/>
      <c r="K6" s="5"/>
      <c r="L6" s="5"/>
      <c r="M6" s="5">
        <v>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45775</v>
      </c>
      <c r="C7" s="5">
        <v>60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26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45775</v>
      </c>
      <c r="C8" s="5">
        <v>202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19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439</v>
      </c>
      <c r="D16" s="3">
        <f t="shared" si="0"/>
        <v>3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72</v>
      </c>
      <c r="N16" s="3">
        <f t="shared" si="0"/>
        <v>35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CAC2-140D-48D4-8E92-CF7FB653CA85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32" t="s">
        <v>21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35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45782</v>
      </c>
      <c r="C5" s="5">
        <v>13</v>
      </c>
      <c r="D5" s="5">
        <v>2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33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45782</v>
      </c>
      <c r="C6" s="5">
        <v>149</v>
      </c>
      <c r="D6" s="5"/>
      <c r="E6" s="5"/>
      <c r="F6" s="5"/>
      <c r="G6" s="5"/>
      <c r="H6" s="5"/>
      <c r="I6" s="5"/>
      <c r="J6" s="5"/>
      <c r="K6" s="5"/>
      <c r="L6" s="5"/>
      <c r="M6" s="5">
        <v>18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45782</v>
      </c>
      <c r="C7" s="5">
        <v>51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25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45782</v>
      </c>
      <c r="C8" s="5">
        <v>197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17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410</v>
      </c>
      <c r="D16" s="3">
        <f t="shared" si="0"/>
        <v>3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93</v>
      </c>
      <c r="N16" s="3">
        <f t="shared" si="0"/>
        <v>35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A103-5FE9-4CD7-9234-2ECE9007821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38" t="s">
        <v>21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4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45789</v>
      </c>
      <c r="C5" s="5">
        <v>7</v>
      </c>
      <c r="D5" s="5">
        <v>2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33</v>
      </c>
      <c r="N5" s="5">
        <v>4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45789</v>
      </c>
      <c r="C6" s="5">
        <v>142</v>
      </c>
      <c r="D6" s="5"/>
      <c r="E6" s="5"/>
      <c r="F6" s="5"/>
      <c r="G6" s="5"/>
      <c r="H6" s="5"/>
      <c r="I6" s="5"/>
      <c r="J6" s="5"/>
      <c r="K6" s="5"/>
      <c r="L6" s="5"/>
      <c r="M6" s="5">
        <v>15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45789</v>
      </c>
      <c r="C7" s="5">
        <v>41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22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45789</v>
      </c>
      <c r="C8" s="5">
        <v>192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15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382</v>
      </c>
      <c r="D16" s="3">
        <f t="shared" si="0"/>
        <v>3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85</v>
      </c>
      <c r="N16" s="3">
        <f t="shared" si="0"/>
        <v>35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2A30-6BDC-424B-8166-5D67B98F9686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44" t="s">
        <v>21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45796</v>
      </c>
      <c r="C5" s="5">
        <v>48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32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45796</v>
      </c>
      <c r="C6" s="5">
        <v>85</v>
      </c>
      <c r="D6" s="5"/>
      <c r="E6" s="5"/>
      <c r="F6" s="5"/>
      <c r="G6" s="5"/>
      <c r="H6" s="5"/>
      <c r="I6" s="5"/>
      <c r="J6" s="5"/>
      <c r="K6" s="5"/>
      <c r="L6" s="5"/>
      <c r="M6" s="5">
        <v>9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45796</v>
      </c>
      <c r="C7" s="5">
        <v>35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22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45796</v>
      </c>
      <c r="C8" s="5">
        <v>188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12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356</v>
      </c>
      <c r="D16" s="3">
        <f t="shared" si="0"/>
        <v>2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75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D8CD-45A7-4FB6-A97D-133168A0471A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50" t="s">
        <v>21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53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45803</v>
      </c>
      <c r="C5" s="5">
        <v>49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16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45803</v>
      </c>
      <c r="C6" s="5">
        <v>82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45803</v>
      </c>
      <c r="C7" s="5">
        <v>26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21</v>
      </c>
      <c r="N7" s="5">
        <v>15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2</v>
      </c>
    </row>
    <row r="8" spans="1:22" ht="19.05" x14ac:dyDescent="0.35">
      <c r="A8" s="6" t="s">
        <v>32</v>
      </c>
      <c r="B8" s="2">
        <v>45803</v>
      </c>
      <c r="C8" s="5">
        <v>184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22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341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63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5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487B-D117-449E-A6DE-76EC53E1AE0B}">
  <dimension ref="A1:V16"/>
  <sheetViews>
    <sheetView workbookViewId="0">
      <selection sqref="A1:V17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56" t="s">
        <v>21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5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45809</v>
      </c>
      <c r="C5" s="5">
        <v>215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43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45809</v>
      </c>
      <c r="C6" s="5">
        <v>76</v>
      </c>
      <c r="D6" s="5"/>
      <c r="E6" s="5"/>
      <c r="F6" s="5"/>
      <c r="G6" s="5"/>
      <c r="H6" s="5"/>
      <c r="I6" s="5"/>
      <c r="J6" s="5"/>
      <c r="K6" s="5"/>
      <c r="L6" s="5"/>
      <c r="M6" s="5">
        <v>48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45809</v>
      </c>
      <c r="C7" s="5">
        <v>18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21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45809</v>
      </c>
      <c r="C8" s="5">
        <v>175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68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484</v>
      </c>
      <c r="D16" s="3">
        <f t="shared" si="0"/>
        <v>2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180</v>
      </c>
      <c r="N16" s="3">
        <f t="shared" si="0"/>
        <v>33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3376-8461-4F73-A2AB-BBEF04314B6D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262" t="s">
        <v>21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65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45817</v>
      </c>
      <c r="C5" s="5">
        <v>209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44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45817</v>
      </c>
      <c r="C6" s="5">
        <v>50</v>
      </c>
      <c r="D6" s="5"/>
      <c r="E6" s="5"/>
      <c r="F6" s="5"/>
      <c r="G6" s="5"/>
      <c r="H6" s="5"/>
      <c r="I6" s="5"/>
      <c r="J6" s="5"/>
      <c r="K6" s="5"/>
      <c r="L6" s="5"/>
      <c r="M6" s="5">
        <v>37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45817</v>
      </c>
      <c r="C7" s="5">
        <v>184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21</v>
      </c>
      <c r="N7" s="5">
        <v>7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45817</v>
      </c>
      <c r="C8" s="5">
        <v>169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68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612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170</v>
      </c>
      <c r="N16" s="3">
        <f t="shared" si="0"/>
        <v>26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C91D-A2B2-4663-80CB-2AC52781DA42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68" t="s">
        <v>36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7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45824</v>
      </c>
      <c r="C5" s="5">
        <v>208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42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45824</v>
      </c>
      <c r="C6" s="5">
        <v>41</v>
      </c>
      <c r="D6" s="5"/>
      <c r="E6" s="5"/>
      <c r="F6" s="5"/>
      <c r="G6" s="5"/>
      <c r="H6" s="5"/>
      <c r="I6" s="5"/>
      <c r="J6" s="5"/>
      <c r="K6" s="5"/>
      <c r="L6" s="5"/>
      <c r="M6" s="5">
        <v>34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45824</v>
      </c>
      <c r="C7" s="5">
        <v>166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21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45824</v>
      </c>
      <c r="C8" s="5">
        <v>169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67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584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164</v>
      </c>
      <c r="N16" s="3">
        <f t="shared" si="0"/>
        <v>33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DDBC-CC99-4624-BE5E-B0792E6000BC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74" t="s">
        <v>36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77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45831</v>
      </c>
      <c r="C5" s="5">
        <v>200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41</v>
      </c>
      <c r="N5" s="5">
        <v>3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45831</v>
      </c>
      <c r="C6" s="5">
        <v>31</v>
      </c>
      <c r="D6" s="5"/>
      <c r="E6" s="5"/>
      <c r="F6" s="5"/>
      <c r="G6" s="5"/>
      <c r="H6" s="5"/>
      <c r="I6" s="5"/>
      <c r="J6" s="5"/>
      <c r="K6" s="5"/>
      <c r="L6" s="5"/>
      <c r="M6" s="5">
        <v>30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45831</v>
      </c>
      <c r="C7" s="5">
        <v>170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20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45831</v>
      </c>
      <c r="C8" s="5">
        <v>167</v>
      </c>
      <c r="D8" s="5"/>
      <c r="E8" s="5"/>
      <c r="F8" s="5">
        <v>1</v>
      </c>
      <c r="G8" s="5"/>
      <c r="H8" s="5"/>
      <c r="I8" s="5"/>
      <c r="J8" s="5"/>
      <c r="K8" s="5"/>
      <c r="L8" s="5"/>
      <c r="M8" s="5">
        <v>64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568</v>
      </c>
      <c r="D16" s="3">
        <f t="shared" si="0"/>
        <v>0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155</v>
      </c>
      <c r="N16" s="3">
        <f t="shared" si="0"/>
        <v>33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84A0-4972-4559-A594-CBFEBC4D2355}">
  <dimension ref="A1:V16"/>
  <sheetViews>
    <sheetView workbookViewId="0">
      <selection sqref="A1:V17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80" t="s">
        <v>36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83"/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45838</v>
      </c>
      <c r="C5" s="5">
        <v>255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44</v>
      </c>
      <c r="N5" s="5">
        <v>2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45838</v>
      </c>
      <c r="C6" s="5">
        <v>65</v>
      </c>
      <c r="D6" s="5"/>
      <c r="E6" s="5"/>
      <c r="F6" s="5"/>
      <c r="G6" s="5"/>
      <c r="H6" s="5"/>
      <c r="I6" s="5"/>
      <c r="J6" s="5"/>
      <c r="K6" s="5"/>
      <c r="L6" s="5"/>
      <c r="M6" s="5">
        <v>22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45838</v>
      </c>
      <c r="C7" s="5">
        <v>147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20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45838</v>
      </c>
      <c r="C8" s="5">
        <v>161</v>
      </c>
      <c r="D8" s="5"/>
      <c r="E8" s="5"/>
      <c r="F8" s="5">
        <v>1</v>
      </c>
      <c r="G8" s="5"/>
      <c r="H8" s="5"/>
      <c r="I8" s="5"/>
      <c r="J8" s="5"/>
      <c r="K8" s="5"/>
      <c r="L8" s="5"/>
      <c r="M8" s="5">
        <v>62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628</v>
      </c>
      <c r="D16" s="3">
        <f t="shared" si="0"/>
        <v>0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148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12A6-A157-4727-9282-013D371BCD74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86" t="s">
        <v>36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45845</v>
      </c>
      <c r="C5" s="5">
        <v>151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44</v>
      </c>
      <c r="N5" s="5">
        <v>2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45845</v>
      </c>
      <c r="C6" s="5">
        <v>61</v>
      </c>
      <c r="D6" s="5"/>
      <c r="E6" s="5"/>
      <c r="F6" s="5"/>
      <c r="G6" s="5"/>
      <c r="H6" s="5"/>
      <c r="I6" s="5"/>
      <c r="J6" s="5"/>
      <c r="K6" s="5"/>
      <c r="L6" s="5"/>
      <c r="M6" s="5">
        <v>15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45845</v>
      </c>
      <c r="C7" s="5">
        <v>151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20</v>
      </c>
      <c r="N7" s="5">
        <v>14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45845</v>
      </c>
      <c r="C8" s="5">
        <v>157</v>
      </c>
      <c r="D8" s="5">
        <v>1</v>
      </c>
      <c r="E8" s="5"/>
      <c r="F8" s="5">
        <v>1</v>
      </c>
      <c r="G8" s="5"/>
      <c r="H8" s="5"/>
      <c r="I8" s="5"/>
      <c r="J8" s="5"/>
      <c r="K8" s="5"/>
      <c r="L8" s="5"/>
      <c r="M8" s="5">
        <v>60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520</v>
      </c>
      <c r="D16" s="3">
        <f t="shared" si="0"/>
        <v>2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139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896D-77BD-4C30-A789-F85B46E752C6}">
  <dimension ref="A1:V16"/>
  <sheetViews>
    <sheetView workbookViewId="0">
      <selection activeCell="H28" sqref="H28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292" t="s">
        <v>36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/>
      <c r="C5" s="5">
        <v>147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43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/>
      <c r="C6" s="5">
        <v>54</v>
      </c>
      <c r="D6" s="5"/>
      <c r="E6" s="5"/>
      <c r="F6" s="5"/>
      <c r="G6" s="5"/>
      <c r="H6" s="5"/>
      <c r="I6" s="5"/>
      <c r="J6" s="5"/>
      <c r="K6" s="5"/>
      <c r="L6" s="5"/>
      <c r="M6" s="5">
        <v>11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/>
      <c r="C7" s="5">
        <v>140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18</v>
      </c>
      <c r="N7" s="5">
        <v>13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/>
      <c r="C8" s="5">
        <v>144</v>
      </c>
      <c r="D8" s="5">
        <v>0</v>
      </c>
      <c r="E8" s="5"/>
      <c r="F8" s="5">
        <v>1</v>
      </c>
      <c r="G8" s="5"/>
      <c r="H8" s="5"/>
      <c r="I8" s="5"/>
      <c r="J8" s="5"/>
      <c r="K8" s="5"/>
      <c r="L8" s="5"/>
      <c r="M8" s="5">
        <v>59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485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131</v>
      </c>
      <c r="N16" s="3">
        <f t="shared" si="0"/>
        <v>30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4975-CC4C-4B1F-AD37-584A86C6B70C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298" t="s">
        <v>36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30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01"/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45859</v>
      </c>
      <c r="C5" s="5">
        <v>145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42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45859</v>
      </c>
      <c r="C6" s="5">
        <v>46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45859</v>
      </c>
      <c r="C7" s="5">
        <v>133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17</v>
      </c>
      <c r="N7" s="5">
        <v>13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45859</v>
      </c>
      <c r="C8" s="5">
        <v>134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57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458</v>
      </c>
      <c r="D16" s="3">
        <f t="shared" si="0"/>
        <v>2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120</v>
      </c>
      <c r="N16" s="3">
        <f t="shared" si="0"/>
        <v>30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1029-346C-4A5D-8032-A675CC42174B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04" t="s">
        <v>36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07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45865</v>
      </c>
      <c r="C5" s="5">
        <v>137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120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45865</v>
      </c>
      <c r="C6" s="5">
        <v>42</v>
      </c>
      <c r="D6" s="5"/>
      <c r="E6" s="5"/>
      <c r="F6" s="5"/>
      <c r="G6" s="5"/>
      <c r="H6" s="5"/>
      <c r="I6" s="5"/>
      <c r="J6" s="5"/>
      <c r="K6" s="5"/>
      <c r="L6" s="5"/>
      <c r="M6" s="5">
        <v>38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45865</v>
      </c>
      <c r="C7" s="5">
        <v>124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96</v>
      </c>
      <c r="N7" s="5">
        <v>13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45865</v>
      </c>
      <c r="C8" s="5">
        <v>123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54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426</v>
      </c>
      <c r="D16" s="3">
        <f t="shared" si="0"/>
        <v>2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308</v>
      </c>
      <c r="N16" s="3">
        <f t="shared" si="0"/>
        <v>30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E77-AFB3-49AC-98E4-E16BB7F12E02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10" t="s">
        <v>36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13"/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45873</v>
      </c>
      <c r="C5" s="5">
        <v>29</v>
      </c>
      <c r="D5" s="5">
        <v>1</v>
      </c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119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45873</v>
      </c>
      <c r="C6" s="5">
        <v>43</v>
      </c>
      <c r="D6" s="5"/>
      <c r="E6" s="5"/>
      <c r="F6" s="5"/>
      <c r="G6" s="5"/>
      <c r="H6" s="5"/>
      <c r="I6" s="5"/>
      <c r="J6" s="5"/>
      <c r="K6" s="5"/>
      <c r="L6" s="5"/>
      <c r="M6" s="5">
        <v>34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45873</v>
      </c>
      <c r="C7" s="5">
        <v>60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95</v>
      </c>
      <c r="N7" s="5">
        <v>13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45873</v>
      </c>
      <c r="C8" s="5">
        <v>61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54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193</v>
      </c>
      <c r="D16" s="3">
        <f t="shared" si="0"/>
        <v>2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302</v>
      </c>
      <c r="N16" s="3">
        <f t="shared" si="0"/>
        <v>30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723F-5EC4-4FBA-81E3-849224701AD5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16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19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45880</v>
      </c>
      <c r="C5" s="5">
        <v>29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114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45880</v>
      </c>
      <c r="C6" s="5">
        <v>43</v>
      </c>
      <c r="D6" s="5"/>
      <c r="E6" s="5"/>
      <c r="F6" s="5"/>
      <c r="G6" s="5"/>
      <c r="H6" s="5"/>
      <c r="I6" s="5"/>
      <c r="J6" s="5"/>
      <c r="K6" s="5"/>
      <c r="L6" s="5"/>
      <c r="M6" s="5">
        <v>32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45880</v>
      </c>
      <c r="C7" s="5">
        <v>58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95</v>
      </c>
      <c r="N7" s="5">
        <v>12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45880</v>
      </c>
      <c r="C8" s="5">
        <v>67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130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197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371</v>
      </c>
      <c r="N16" s="3">
        <f t="shared" si="0"/>
        <v>29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69D5-30B3-417A-BC33-AF005E8E430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22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25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45887</v>
      </c>
      <c r="C5" s="5">
        <v>176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112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45887</v>
      </c>
      <c r="C6" s="5">
        <v>43</v>
      </c>
      <c r="D6" s="5"/>
      <c r="E6" s="5"/>
      <c r="F6" s="5"/>
      <c r="G6" s="5"/>
      <c r="H6" s="5"/>
      <c r="I6" s="5"/>
      <c r="J6" s="5"/>
      <c r="K6" s="5"/>
      <c r="L6" s="5"/>
      <c r="M6" s="5">
        <v>30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45887</v>
      </c>
      <c r="C7" s="5">
        <v>227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95</v>
      </c>
      <c r="N7" s="5">
        <v>12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45887</v>
      </c>
      <c r="C8" s="5">
        <v>239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130</v>
      </c>
      <c r="N8" s="5">
        <v>12</v>
      </c>
      <c r="O8" s="5"/>
      <c r="P8" s="5"/>
      <c r="Q8" s="5">
        <v>3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685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367</v>
      </c>
      <c r="N16" s="3">
        <f t="shared" si="0"/>
        <v>29</v>
      </c>
      <c r="O16" s="3">
        <f t="shared" si="0"/>
        <v>0</v>
      </c>
      <c r="P16" s="3">
        <f t="shared" si="0"/>
        <v>10</v>
      </c>
      <c r="Q16" s="3">
        <f t="shared" si="0"/>
        <v>7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79EF-2769-4083-ADEB-8E73565B15D6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28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3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31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45901</v>
      </c>
      <c r="C5" s="5">
        <v>164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107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45901</v>
      </c>
      <c r="C6" s="5">
        <v>44</v>
      </c>
      <c r="D6" s="5"/>
      <c r="E6" s="5"/>
      <c r="F6" s="5"/>
      <c r="G6" s="5"/>
      <c r="H6" s="5"/>
      <c r="I6" s="5"/>
      <c r="J6" s="5"/>
      <c r="K6" s="5"/>
      <c r="L6" s="5"/>
      <c r="M6" s="5">
        <v>22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45901</v>
      </c>
      <c r="C7" s="5">
        <v>214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90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45901</v>
      </c>
      <c r="C8" s="5">
        <v>228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125</v>
      </c>
      <c r="N8" s="5">
        <v>12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650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344</v>
      </c>
      <c r="N16" s="3">
        <f t="shared" si="0"/>
        <v>27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12F0-A6CE-4C6C-906F-748EF9E619DB}">
  <dimension ref="A1:V16"/>
  <sheetViews>
    <sheetView workbookViewId="0">
      <selection activeCell="M6" sqref="M6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334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37"/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45908</v>
      </c>
      <c r="C5" s="5">
        <v>150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101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45908</v>
      </c>
      <c r="C6" s="5">
        <v>42</v>
      </c>
      <c r="D6" s="5"/>
      <c r="E6" s="5"/>
      <c r="F6" s="5"/>
      <c r="G6" s="5"/>
      <c r="H6" s="5"/>
      <c r="I6" s="5"/>
      <c r="J6" s="5"/>
      <c r="K6" s="5"/>
      <c r="L6" s="5"/>
      <c r="M6" s="5">
        <v>21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45908</v>
      </c>
      <c r="C7" s="5">
        <v>176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88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45908</v>
      </c>
      <c r="C8" s="5">
        <v>221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121</v>
      </c>
      <c r="N8" s="5">
        <v>12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589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331</v>
      </c>
      <c r="N16" s="3">
        <f t="shared" si="0"/>
        <v>27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33C8-7B3B-49E4-B0BF-BC16FC02B81C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40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43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45915</v>
      </c>
      <c r="C5" s="5">
        <v>141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96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45915</v>
      </c>
      <c r="C6" s="5">
        <v>42</v>
      </c>
      <c r="D6" s="5"/>
      <c r="E6" s="5"/>
      <c r="F6" s="5"/>
      <c r="G6" s="5"/>
      <c r="H6" s="5"/>
      <c r="I6" s="5"/>
      <c r="J6" s="5"/>
      <c r="K6" s="5"/>
      <c r="L6" s="5"/>
      <c r="M6" s="5">
        <v>18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45915</v>
      </c>
      <c r="C7" s="5">
        <v>191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85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45915</v>
      </c>
      <c r="C8" s="5">
        <v>193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114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567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313</v>
      </c>
      <c r="N16" s="3">
        <f t="shared" si="0"/>
        <v>26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1B08-8340-4A5D-82A7-C25D4BF544B6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46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49"/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 t="s">
        <v>37</v>
      </c>
      <c r="C5" s="5">
        <v>137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94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45922</v>
      </c>
      <c r="C6" s="5">
        <v>40</v>
      </c>
      <c r="D6" s="5"/>
      <c r="E6" s="5"/>
      <c r="F6" s="5"/>
      <c r="G6" s="5"/>
      <c r="H6" s="5"/>
      <c r="I6" s="5"/>
      <c r="J6" s="5"/>
      <c r="K6" s="5"/>
      <c r="L6" s="5"/>
      <c r="M6" s="5">
        <v>16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 t="s">
        <v>38</v>
      </c>
      <c r="C7" s="5">
        <v>187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84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45922</v>
      </c>
      <c r="C8" s="5">
        <v>179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111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543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305</v>
      </c>
      <c r="N16" s="3">
        <f t="shared" si="0"/>
        <v>26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4D18-EF4C-419A-946A-BFEE1DD5ED60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2.5" bestFit="1" customWidth="1"/>
  </cols>
  <sheetData>
    <row r="1" spans="1:22" x14ac:dyDescent="0.25">
      <c r="A1" s="352"/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55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45929</v>
      </c>
      <c r="C5" s="5">
        <v>125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92</v>
      </c>
      <c r="N5" s="5">
        <v>1</v>
      </c>
      <c r="O5" s="5"/>
      <c r="P5" s="5">
        <v>2</v>
      </c>
      <c r="Q5" s="5"/>
      <c r="R5" s="5">
        <v>6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45929</v>
      </c>
      <c r="C6" s="5">
        <v>53</v>
      </c>
      <c r="D6" s="5"/>
      <c r="E6" s="5"/>
      <c r="F6" s="5"/>
      <c r="G6" s="5"/>
      <c r="H6" s="5"/>
      <c r="I6" s="5"/>
      <c r="J6" s="5"/>
      <c r="K6" s="5"/>
      <c r="L6" s="5"/>
      <c r="M6" s="5">
        <v>14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45929</v>
      </c>
      <c r="C7" s="5">
        <v>164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72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45929</v>
      </c>
      <c r="C8" s="5">
        <v>169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107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511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285</v>
      </c>
      <c r="N16" s="3">
        <f t="shared" si="0"/>
        <v>26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8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16EE-5CA5-4E10-BDE7-1F4469432254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6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61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45936</v>
      </c>
      <c r="C5" s="5">
        <v>118</v>
      </c>
      <c r="D5" s="5"/>
      <c r="E5" s="5">
        <v>3</v>
      </c>
      <c r="F5" s="5">
        <v>2</v>
      </c>
      <c r="G5" s="5"/>
      <c r="H5" s="5"/>
      <c r="I5" s="5"/>
      <c r="J5" s="5"/>
      <c r="K5" s="5"/>
      <c r="L5" s="5"/>
      <c r="M5" s="5">
        <v>87</v>
      </c>
      <c r="N5" s="5"/>
      <c r="O5" s="5"/>
      <c r="P5" s="5">
        <v>2</v>
      </c>
      <c r="Q5" s="5"/>
      <c r="R5" s="5">
        <v>5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45936</v>
      </c>
      <c r="C6" s="5">
        <v>52</v>
      </c>
      <c r="D6" s="5"/>
      <c r="E6" s="5"/>
      <c r="F6" s="5"/>
      <c r="G6" s="5"/>
      <c r="H6" s="5"/>
      <c r="I6" s="5"/>
      <c r="J6" s="5"/>
      <c r="K6" s="5"/>
      <c r="L6" s="5"/>
      <c r="M6" s="5">
        <v>12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45936</v>
      </c>
      <c r="C7" s="5">
        <v>126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57</v>
      </c>
      <c r="N7" s="5">
        <v>10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45936</v>
      </c>
      <c r="C8" s="5">
        <v>163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107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459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0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263</v>
      </c>
      <c r="N16" s="3">
        <f t="shared" si="0"/>
        <v>25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6778-63C2-445B-9C79-95BF24F14C29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64"/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45943</v>
      </c>
      <c r="C5" s="5">
        <v>106</v>
      </c>
      <c r="D5" s="5"/>
      <c r="E5" s="5">
        <v>3</v>
      </c>
      <c r="F5" s="5">
        <v>2</v>
      </c>
      <c r="G5" s="5">
        <v>2</v>
      </c>
      <c r="H5" s="5"/>
      <c r="I5" s="5"/>
      <c r="J5" s="5"/>
      <c r="K5" s="5"/>
      <c r="L5" s="5"/>
      <c r="M5" s="5">
        <v>84</v>
      </c>
      <c r="N5" s="5">
        <v>16</v>
      </c>
      <c r="O5" s="5"/>
      <c r="P5" s="5">
        <v>2</v>
      </c>
      <c r="Q5" s="5"/>
      <c r="R5" s="5">
        <v>5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45943</v>
      </c>
      <c r="C6" s="5">
        <v>50</v>
      </c>
      <c r="D6" s="5"/>
      <c r="E6" s="5"/>
      <c r="F6" s="5"/>
      <c r="G6" s="5"/>
      <c r="H6" s="5"/>
      <c r="I6" s="5"/>
      <c r="J6" s="5"/>
      <c r="K6" s="5"/>
      <c r="L6" s="5"/>
      <c r="M6" s="5">
        <v>11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45943</v>
      </c>
      <c r="C7" s="5">
        <v>104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41</v>
      </c>
      <c r="N7" s="5">
        <v>8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45943</v>
      </c>
      <c r="C8" s="5">
        <v>147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104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407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240</v>
      </c>
      <c r="N16" s="3">
        <f t="shared" si="0"/>
        <v>39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D676-05F3-419F-8D0F-6F677C587033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73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45950</v>
      </c>
      <c r="C5" s="5">
        <v>95</v>
      </c>
      <c r="D5" s="5"/>
      <c r="E5" s="5">
        <v>3</v>
      </c>
      <c r="F5" s="5">
        <v>2</v>
      </c>
      <c r="G5" s="5">
        <v>2</v>
      </c>
      <c r="H5" s="5"/>
      <c r="I5" s="5"/>
      <c r="J5" s="5"/>
      <c r="K5" s="5"/>
      <c r="L5" s="5"/>
      <c r="M5" s="5">
        <v>81</v>
      </c>
      <c r="N5" s="5">
        <v>16</v>
      </c>
      <c r="O5" s="5"/>
      <c r="P5" s="5">
        <v>2</v>
      </c>
      <c r="Q5" s="5"/>
      <c r="R5" s="5">
        <v>5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45950</v>
      </c>
      <c r="C6" s="5">
        <v>48</v>
      </c>
      <c r="D6" s="5"/>
      <c r="E6" s="5"/>
      <c r="F6" s="5"/>
      <c r="G6" s="5"/>
      <c r="H6" s="5"/>
      <c r="I6" s="5"/>
      <c r="J6" s="5"/>
      <c r="K6" s="5"/>
      <c r="L6" s="5"/>
      <c r="M6" s="5">
        <v>3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45950</v>
      </c>
      <c r="C7" s="5">
        <v>64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10</v>
      </c>
      <c r="N7" s="5">
        <v>7</v>
      </c>
      <c r="O7" s="5"/>
      <c r="P7" s="5">
        <v>8</v>
      </c>
      <c r="Q7" s="5">
        <v>4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45950</v>
      </c>
      <c r="C8" s="5">
        <v>121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102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328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196</v>
      </c>
      <c r="N16" s="3">
        <f t="shared" si="0"/>
        <v>38</v>
      </c>
      <c r="O16" s="3">
        <f t="shared" si="0"/>
        <v>0</v>
      </c>
      <c r="P16" s="3">
        <f t="shared" si="0"/>
        <v>10</v>
      </c>
      <c r="Q16" s="3">
        <f t="shared" si="0"/>
        <v>6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F636-CA78-4710-8901-FE210B047188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76"/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79"/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45957</v>
      </c>
      <c r="C5" s="5">
        <v>77</v>
      </c>
      <c r="D5" s="5"/>
      <c r="E5" s="5">
        <v>3</v>
      </c>
      <c r="F5" s="5">
        <v>2</v>
      </c>
      <c r="G5" s="5">
        <v>2</v>
      </c>
      <c r="H5" s="5"/>
      <c r="I5" s="5"/>
      <c r="J5" s="5"/>
      <c r="K5" s="5"/>
      <c r="L5" s="5"/>
      <c r="M5" s="5">
        <v>64</v>
      </c>
      <c r="N5" s="5">
        <v>16</v>
      </c>
      <c r="O5" s="5"/>
      <c r="P5" s="5">
        <v>2</v>
      </c>
      <c r="Q5" s="5"/>
      <c r="R5" s="5">
        <v>5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45957</v>
      </c>
      <c r="C6" s="5">
        <v>46</v>
      </c>
      <c r="D6" s="5"/>
      <c r="E6" s="5"/>
      <c r="F6" s="5"/>
      <c r="G6" s="5"/>
      <c r="H6" s="5"/>
      <c r="I6" s="5"/>
      <c r="J6" s="5"/>
      <c r="K6" s="5"/>
      <c r="L6" s="5"/>
      <c r="M6" s="5">
        <v>18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45957</v>
      </c>
      <c r="C7" s="5">
        <v>49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23</v>
      </c>
      <c r="N7" s="5">
        <v>5</v>
      </c>
      <c r="O7" s="5"/>
      <c r="P7" s="5">
        <v>8</v>
      </c>
      <c r="Q7" s="5">
        <v>2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45957</v>
      </c>
      <c r="C8" s="5">
        <v>129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96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301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201</v>
      </c>
      <c r="N16" s="3">
        <f t="shared" si="0"/>
        <v>36</v>
      </c>
      <c r="O16" s="3">
        <f t="shared" si="0"/>
        <v>0</v>
      </c>
      <c r="P16" s="3">
        <f t="shared" si="0"/>
        <v>10</v>
      </c>
      <c r="Q16" s="3">
        <f t="shared" si="0"/>
        <v>4</v>
      </c>
      <c r="R16" s="3">
        <f t="shared" si="0"/>
        <v>7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6291-B103-4FD7-B36E-6F9F07B0A237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82"/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85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45964</v>
      </c>
      <c r="C5" s="5">
        <v>235</v>
      </c>
      <c r="D5" s="5"/>
      <c r="E5" s="5">
        <v>3</v>
      </c>
      <c r="F5" s="5">
        <v>2</v>
      </c>
      <c r="G5" s="5">
        <v>1</v>
      </c>
      <c r="H5" s="5"/>
      <c r="I5" s="5"/>
      <c r="J5" s="5"/>
      <c r="K5" s="5"/>
      <c r="L5" s="5"/>
      <c r="M5" s="5">
        <v>105</v>
      </c>
      <c r="N5" s="5">
        <v>16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45964</v>
      </c>
      <c r="C6" s="5">
        <v>46</v>
      </c>
      <c r="D6" s="5"/>
      <c r="E6" s="5"/>
      <c r="F6" s="5"/>
      <c r="G6" s="5"/>
      <c r="H6" s="5"/>
      <c r="I6" s="5"/>
      <c r="J6" s="5"/>
      <c r="K6" s="5"/>
      <c r="L6" s="5"/>
      <c r="M6" s="5">
        <v>12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45964</v>
      </c>
      <c r="C7" s="5">
        <v>207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172</v>
      </c>
      <c r="N7" s="5">
        <v>5</v>
      </c>
      <c r="O7" s="5"/>
      <c r="P7" s="5">
        <v>8</v>
      </c>
      <c r="Q7" s="5">
        <v>1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45964</v>
      </c>
      <c r="C8" s="5">
        <v>121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95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609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384</v>
      </c>
      <c r="N16" s="3">
        <f t="shared" si="0"/>
        <v>36</v>
      </c>
      <c r="O16" s="3">
        <f t="shared" si="0"/>
        <v>0</v>
      </c>
      <c r="P16" s="3">
        <f t="shared" si="0"/>
        <v>10</v>
      </c>
      <c r="Q16" s="3">
        <f t="shared" si="0"/>
        <v>3</v>
      </c>
      <c r="R16" s="3">
        <f t="shared" si="0"/>
        <v>5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3270-7E03-420B-928B-B6F480F97BB5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88"/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9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91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45971</v>
      </c>
      <c r="C5" s="5">
        <v>223</v>
      </c>
      <c r="D5" s="5"/>
      <c r="E5" s="5">
        <v>3</v>
      </c>
      <c r="F5" s="5">
        <v>2</v>
      </c>
      <c r="G5" s="5">
        <v>1</v>
      </c>
      <c r="H5" s="5"/>
      <c r="I5" s="5"/>
      <c r="J5" s="5"/>
      <c r="K5" s="5"/>
      <c r="L5" s="5"/>
      <c r="M5" s="5">
        <v>105</v>
      </c>
      <c r="N5" s="5">
        <v>16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45971</v>
      </c>
      <c r="C6" s="5">
        <v>38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45971</v>
      </c>
      <c r="C7" s="5">
        <v>135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148</v>
      </c>
      <c r="N7" s="5">
        <v>3</v>
      </c>
      <c r="O7" s="5"/>
      <c r="P7" s="5">
        <v>8</v>
      </c>
      <c r="Q7" s="5">
        <v>1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45971</v>
      </c>
      <c r="C8" s="5">
        <v>115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93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511</v>
      </c>
      <c r="D16" s="3">
        <f t="shared" si="0"/>
        <v>1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350</v>
      </c>
      <c r="N16" s="3">
        <f t="shared" si="0"/>
        <v>34</v>
      </c>
      <c r="O16" s="3">
        <f t="shared" si="0"/>
        <v>0</v>
      </c>
      <c r="P16" s="3">
        <f t="shared" si="0"/>
        <v>10</v>
      </c>
      <c r="Q16" s="3">
        <f t="shared" si="0"/>
        <v>3</v>
      </c>
      <c r="R16" s="3">
        <f t="shared" si="0"/>
        <v>5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CF92-965B-47EA-9722-FA6DE4F52396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394"/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397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45978</v>
      </c>
      <c r="C5" s="5">
        <v>216</v>
      </c>
      <c r="D5" s="5"/>
      <c r="E5" s="5">
        <v>3</v>
      </c>
      <c r="F5" s="5">
        <v>2</v>
      </c>
      <c r="G5" s="5">
        <v>1</v>
      </c>
      <c r="H5" s="5"/>
      <c r="I5" s="5"/>
      <c r="J5" s="5"/>
      <c r="K5" s="5"/>
      <c r="L5" s="5"/>
      <c r="M5" s="5">
        <v>84</v>
      </c>
      <c r="N5" s="5">
        <v>16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45978</v>
      </c>
      <c r="C6" s="5">
        <v>22</v>
      </c>
      <c r="D6" s="5"/>
      <c r="E6" s="5"/>
      <c r="F6" s="5"/>
      <c r="G6" s="5"/>
      <c r="H6" s="5"/>
      <c r="I6" s="5"/>
      <c r="J6" s="5"/>
      <c r="K6" s="5"/>
      <c r="L6" s="5"/>
      <c r="M6" s="5">
        <v>12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45978</v>
      </c>
      <c r="C7" s="5">
        <v>110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129</v>
      </c>
      <c r="N7" s="5">
        <v>1</v>
      </c>
      <c r="O7" s="5"/>
      <c r="P7" s="5">
        <v>8</v>
      </c>
      <c r="Q7" s="5">
        <v>1</v>
      </c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45978</v>
      </c>
      <c r="C8" s="5">
        <v>111</v>
      </c>
      <c r="D8" s="5"/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91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459</v>
      </c>
      <c r="D16" s="3">
        <f t="shared" si="0"/>
        <v>0</v>
      </c>
      <c r="E16" s="3">
        <f t="shared" si="0"/>
        <v>5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316</v>
      </c>
      <c r="N16" s="3">
        <f t="shared" si="0"/>
        <v>32</v>
      </c>
      <c r="O16" s="3">
        <f t="shared" si="0"/>
        <v>0</v>
      </c>
      <c r="P16" s="3">
        <f t="shared" si="0"/>
        <v>10</v>
      </c>
      <c r="Q16" s="3">
        <f t="shared" si="0"/>
        <v>3</v>
      </c>
      <c r="R16" s="3">
        <f t="shared" si="0"/>
        <v>5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4125-2F1F-47B5-A149-81EBA6C19262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03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45985</v>
      </c>
      <c r="C5" s="5">
        <v>174</v>
      </c>
      <c r="D5" s="5"/>
      <c r="E5" s="5">
        <v>2</v>
      </c>
      <c r="F5" s="5">
        <v>2</v>
      </c>
      <c r="G5" s="5">
        <v>1</v>
      </c>
      <c r="H5" s="5"/>
      <c r="I5" s="5"/>
      <c r="J5" s="5"/>
      <c r="K5" s="5"/>
      <c r="L5" s="5"/>
      <c r="M5" s="5">
        <v>65</v>
      </c>
      <c r="N5" s="5">
        <v>8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45985</v>
      </c>
      <c r="C6" s="5">
        <v>45</v>
      </c>
      <c r="D6" s="5"/>
      <c r="E6" s="5"/>
      <c r="F6" s="5"/>
      <c r="G6" s="5"/>
      <c r="H6" s="5"/>
      <c r="I6" s="5"/>
      <c r="J6" s="5"/>
      <c r="K6" s="5"/>
      <c r="L6" s="5"/>
      <c r="M6" s="5">
        <v>19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45985</v>
      </c>
      <c r="C7" s="5">
        <v>122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118</v>
      </c>
      <c r="N7" s="5">
        <v>8</v>
      </c>
      <c r="O7" s="5"/>
      <c r="P7" s="5">
        <v>8</v>
      </c>
      <c r="Q7" s="5"/>
      <c r="R7" s="5">
        <v>2</v>
      </c>
      <c r="S7" s="5">
        <v>24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45985</v>
      </c>
      <c r="C8" s="5">
        <v>102</v>
      </c>
      <c r="D8" s="5"/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85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443</v>
      </c>
      <c r="D16" s="3">
        <f t="shared" si="0"/>
        <v>0</v>
      </c>
      <c r="E16" s="3">
        <f t="shared" si="0"/>
        <v>4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287</v>
      </c>
      <c r="N16" s="3">
        <f t="shared" si="0"/>
        <v>31</v>
      </c>
      <c r="O16" s="3">
        <f t="shared" si="0"/>
        <v>0</v>
      </c>
      <c r="P16" s="3">
        <f t="shared" si="0"/>
        <v>10</v>
      </c>
      <c r="Q16" s="3">
        <f t="shared" si="0"/>
        <v>2</v>
      </c>
      <c r="R16" s="3">
        <f t="shared" si="0"/>
        <v>5</v>
      </c>
      <c r="S16" s="3">
        <f t="shared" si="0"/>
        <v>31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ADAF-1418-4DE3-918D-7FF797F11FBD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06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09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45992</v>
      </c>
      <c r="C5" s="5">
        <v>153</v>
      </c>
      <c r="D5" s="5"/>
      <c r="E5" s="5">
        <v>1</v>
      </c>
      <c r="F5" s="5">
        <v>2</v>
      </c>
      <c r="G5" s="5">
        <v>1</v>
      </c>
      <c r="H5" s="5"/>
      <c r="I5" s="5"/>
      <c r="J5" s="5"/>
      <c r="K5" s="5"/>
      <c r="L5" s="5"/>
      <c r="M5" s="5">
        <v>64</v>
      </c>
      <c r="N5" s="5">
        <v>7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45992</v>
      </c>
      <c r="C6" s="5">
        <v>38</v>
      </c>
      <c r="D6" s="5"/>
      <c r="E6" s="5"/>
      <c r="F6" s="5"/>
      <c r="G6" s="5"/>
      <c r="H6" s="5"/>
      <c r="I6" s="5"/>
      <c r="J6" s="5"/>
      <c r="K6" s="5"/>
      <c r="L6" s="5"/>
      <c r="M6" s="5">
        <v>13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45992</v>
      </c>
      <c r="C7" s="5">
        <v>396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97</v>
      </c>
      <c r="N7" s="5">
        <v>6</v>
      </c>
      <c r="O7" s="5"/>
      <c r="P7" s="5">
        <v>8</v>
      </c>
      <c r="Q7" s="5"/>
      <c r="R7" s="5">
        <v>2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45992</v>
      </c>
      <c r="C8" s="5">
        <v>100</v>
      </c>
      <c r="D8" s="5">
        <v>1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84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687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258</v>
      </c>
      <c r="N16" s="3">
        <f t="shared" si="0"/>
        <v>28</v>
      </c>
      <c r="O16" s="3">
        <f t="shared" si="0"/>
        <v>0</v>
      </c>
      <c r="P16" s="3">
        <f t="shared" si="0"/>
        <v>10</v>
      </c>
      <c r="Q16" s="3">
        <f t="shared" si="0"/>
        <v>2</v>
      </c>
      <c r="R16" s="3">
        <f t="shared" si="0"/>
        <v>5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95F1-E331-4954-8C19-9B53EDA08FC8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412"/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15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45998</v>
      </c>
      <c r="C5" s="5">
        <v>137</v>
      </c>
      <c r="D5" s="5"/>
      <c r="E5" s="5">
        <v>1</v>
      </c>
      <c r="F5" s="5">
        <v>2</v>
      </c>
      <c r="G5" s="5">
        <v>1</v>
      </c>
      <c r="H5" s="5"/>
      <c r="I5" s="5"/>
      <c r="J5" s="5"/>
      <c r="K5" s="5"/>
      <c r="L5" s="5"/>
      <c r="M5" s="5">
        <v>58</v>
      </c>
      <c r="N5" s="5">
        <v>7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1</v>
      </c>
    </row>
    <row r="6" spans="1:22" ht="19.05" x14ac:dyDescent="0.35">
      <c r="A6" s="6" t="s">
        <v>30</v>
      </c>
      <c r="B6" s="2">
        <v>45998</v>
      </c>
      <c r="C6" s="5">
        <v>34</v>
      </c>
      <c r="D6" s="5"/>
      <c r="E6" s="5"/>
      <c r="F6" s="5"/>
      <c r="G6" s="5"/>
      <c r="H6" s="5"/>
      <c r="I6" s="5"/>
      <c r="J6" s="5"/>
      <c r="K6" s="5"/>
      <c r="L6" s="5"/>
      <c r="M6" s="5">
        <v>8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45998</v>
      </c>
      <c r="C7" s="5">
        <v>235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83</v>
      </c>
      <c r="N7" s="5">
        <v>5</v>
      </c>
      <c r="O7" s="5"/>
      <c r="P7" s="5">
        <v>8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45998</v>
      </c>
      <c r="C8" s="5">
        <v>88</v>
      </c>
      <c r="D8" s="5"/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78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494</v>
      </c>
      <c r="D16" s="3">
        <f t="shared" si="0"/>
        <v>0</v>
      </c>
      <c r="E16" s="3">
        <f t="shared" si="0"/>
        <v>3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227</v>
      </c>
      <c r="N16" s="3">
        <f t="shared" si="0"/>
        <v>27</v>
      </c>
      <c r="O16" s="3">
        <f t="shared" si="0"/>
        <v>0</v>
      </c>
      <c r="P16" s="3">
        <f t="shared" si="0"/>
        <v>10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3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C7C9-AC98-4B32-BDC5-54969ADE457F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18"/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20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21"/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3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46006</v>
      </c>
      <c r="C5" s="5">
        <v>132</v>
      </c>
      <c r="D5" s="5"/>
      <c r="E5" s="5">
        <v>1</v>
      </c>
      <c r="F5" s="5">
        <v>2</v>
      </c>
      <c r="G5" s="5">
        <v>1</v>
      </c>
      <c r="H5" s="5"/>
      <c r="I5" s="5"/>
      <c r="J5" s="5"/>
      <c r="K5" s="5"/>
      <c r="L5" s="5"/>
      <c r="M5" s="5">
        <v>57</v>
      </c>
      <c r="N5" s="5">
        <v>7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46006</v>
      </c>
      <c r="C6" s="5">
        <v>34</v>
      </c>
      <c r="D6" s="5"/>
      <c r="E6" s="5"/>
      <c r="F6" s="5"/>
      <c r="G6" s="5"/>
      <c r="H6" s="5"/>
      <c r="I6" s="5"/>
      <c r="J6" s="5"/>
      <c r="K6" s="5"/>
      <c r="L6" s="5"/>
      <c r="M6" s="5">
        <v>6</v>
      </c>
      <c r="N6" s="5">
        <v>4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46006</v>
      </c>
      <c r="C7" s="5">
        <v>409</v>
      </c>
      <c r="D7" s="5"/>
      <c r="E7" s="5"/>
      <c r="F7" s="5">
        <v>1</v>
      </c>
      <c r="G7" s="5"/>
      <c r="H7" s="5"/>
      <c r="I7" s="5"/>
      <c r="J7" s="5"/>
      <c r="K7" s="5"/>
      <c r="L7" s="5"/>
      <c r="M7" s="5">
        <v>307</v>
      </c>
      <c r="N7" s="5">
        <v>4</v>
      </c>
      <c r="O7" s="5"/>
      <c r="P7" s="5">
        <v>7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46006</v>
      </c>
      <c r="C8" s="5">
        <v>80</v>
      </c>
      <c r="D8" s="5"/>
      <c r="E8" s="5">
        <v>2</v>
      </c>
      <c r="F8" s="5">
        <v>1</v>
      </c>
      <c r="G8" s="5"/>
      <c r="H8" s="5"/>
      <c r="I8" s="5"/>
      <c r="J8" s="5"/>
      <c r="K8" s="5"/>
      <c r="L8" s="5"/>
      <c r="M8" s="5">
        <v>70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655</v>
      </c>
      <c r="D16" s="3">
        <f t="shared" si="0"/>
        <v>0</v>
      </c>
      <c r="E16" s="3">
        <f t="shared" si="0"/>
        <v>3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440</v>
      </c>
      <c r="N16" s="3">
        <f t="shared" si="0"/>
        <v>26</v>
      </c>
      <c r="O16" s="3">
        <f t="shared" si="0"/>
        <v>0</v>
      </c>
      <c r="P16" s="3">
        <f t="shared" si="0"/>
        <v>9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5D16-477A-40A6-BF3B-2E13CAEDBDEE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24"/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6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27"/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9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46013</v>
      </c>
      <c r="C5" s="5">
        <v>116</v>
      </c>
      <c r="D5" s="5"/>
      <c r="E5" s="5"/>
      <c r="F5" s="5">
        <v>2</v>
      </c>
      <c r="G5" s="5">
        <v>1</v>
      </c>
      <c r="H5" s="5"/>
      <c r="I5" s="5"/>
      <c r="J5" s="5"/>
      <c r="K5" s="5"/>
      <c r="L5" s="5"/>
      <c r="M5" s="5">
        <v>55</v>
      </c>
      <c r="N5" s="5">
        <v>7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46013</v>
      </c>
      <c r="C6" s="5">
        <v>32</v>
      </c>
      <c r="D6" s="5"/>
      <c r="E6" s="5"/>
      <c r="F6" s="5"/>
      <c r="G6" s="5"/>
      <c r="H6" s="5"/>
      <c r="I6" s="5"/>
      <c r="J6" s="5"/>
      <c r="K6" s="5"/>
      <c r="L6" s="5"/>
      <c r="M6" s="5">
        <v>3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46013</v>
      </c>
      <c r="C7" s="5">
        <v>251</v>
      </c>
      <c r="D7" s="5"/>
      <c r="E7" s="5">
        <v>1</v>
      </c>
      <c r="F7" s="5">
        <v>1</v>
      </c>
      <c r="G7" s="5"/>
      <c r="H7" s="5"/>
      <c r="I7" s="5"/>
      <c r="J7" s="5"/>
      <c r="K7" s="5"/>
      <c r="L7" s="5"/>
      <c r="M7" s="5">
        <v>44</v>
      </c>
      <c r="N7" s="5">
        <v>1</v>
      </c>
      <c r="O7" s="5"/>
      <c r="P7" s="5">
        <v>7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46013</v>
      </c>
      <c r="C8" s="5">
        <v>67</v>
      </c>
      <c r="D8" s="5"/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65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466</v>
      </c>
      <c r="D16" s="3">
        <f t="shared" si="0"/>
        <v>0</v>
      </c>
      <c r="E16" s="3">
        <f t="shared" si="0"/>
        <v>2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167</v>
      </c>
      <c r="N16" s="3">
        <f t="shared" si="0"/>
        <v>21</v>
      </c>
      <c r="O16" s="3">
        <f t="shared" si="0"/>
        <v>0</v>
      </c>
      <c r="P16" s="3">
        <f t="shared" si="0"/>
        <v>9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B619-AA07-4CB1-80D6-25D05D6B9EA9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30"/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2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33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5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46020</v>
      </c>
      <c r="C5" s="5">
        <v>100</v>
      </c>
      <c r="D5" s="5"/>
      <c r="E5" s="5"/>
      <c r="F5" s="5">
        <v>2</v>
      </c>
      <c r="G5" s="5">
        <v>1</v>
      </c>
      <c r="H5" s="5"/>
      <c r="I5" s="5"/>
      <c r="J5" s="5"/>
      <c r="K5" s="5"/>
      <c r="L5" s="5"/>
      <c r="M5" s="5">
        <v>38</v>
      </c>
      <c r="N5" s="5">
        <v>3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46020</v>
      </c>
      <c r="C6" s="5">
        <v>30</v>
      </c>
      <c r="D6" s="5"/>
      <c r="E6" s="5"/>
      <c r="F6" s="5"/>
      <c r="G6" s="5"/>
      <c r="H6" s="5"/>
      <c r="I6" s="5"/>
      <c r="J6" s="5"/>
      <c r="K6" s="5"/>
      <c r="L6" s="5"/>
      <c r="M6" s="5">
        <v>16</v>
      </c>
      <c r="N6" s="5">
        <v>3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46020</v>
      </c>
      <c r="C7" s="5">
        <v>221</v>
      </c>
      <c r="D7" s="5"/>
      <c r="E7" s="5">
        <v>1</v>
      </c>
      <c r="F7" s="5">
        <v>1</v>
      </c>
      <c r="G7" s="5"/>
      <c r="H7" s="5"/>
      <c r="I7" s="5"/>
      <c r="J7" s="5"/>
      <c r="K7" s="5"/>
      <c r="L7" s="5"/>
      <c r="M7" s="5">
        <v>36</v>
      </c>
      <c r="N7" s="5">
        <v>3</v>
      </c>
      <c r="O7" s="5"/>
      <c r="P7" s="5">
        <v>7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46020</v>
      </c>
      <c r="C8" s="5">
        <v>60</v>
      </c>
      <c r="D8" s="5"/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63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411</v>
      </c>
      <c r="D16" s="3">
        <f t="shared" si="0"/>
        <v>0</v>
      </c>
      <c r="E16" s="3">
        <f t="shared" si="0"/>
        <v>2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153</v>
      </c>
      <c r="N16" s="3">
        <f t="shared" si="0"/>
        <v>20</v>
      </c>
      <c r="O16" s="3">
        <f t="shared" si="0"/>
        <v>0</v>
      </c>
      <c r="P16" s="3">
        <f t="shared" si="0"/>
        <v>9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25F-EE25-47D4-9A66-46A194FCAF99}">
  <dimension ref="A1:V16"/>
  <sheetViews>
    <sheetView workbookViewId="0">
      <selection sqref="A1:V16"/>
    </sheetView>
  </sheetViews>
  <sheetFormatPr defaultRowHeight="14.3" x14ac:dyDescent="0.25"/>
  <cols>
    <col min="1" max="1" width="14" bestFit="1" customWidth="1"/>
    <col min="2" max="2" width="11.375" bestFit="1" customWidth="1"/>
  </cols>
  <sheetData>
    <row r="1" spans="1:22" x14ac:dyDescent="0.25">
      <c r="A1" s="436"/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8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39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1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46026</v>
      </c>
      <c r="C5" s="5">
        <v>83</v>
      </c>
      <c r="D5" s="5">
        <v>1</v>
      </c>
      <c r="E5" s="5"/>
      <c r="F5" s="5">
        <v>2</v>
      </c>
      <c r="G5" s="5">
        <v>1</v>
      </c>
      <c r="H5" s="5"/>
      <c r="I5" s="5"/>
      <c r="J5" s="5"/>
      <c r="K5" s="5"/>
      <c r="L5" s="5"/>
      <c r="M5" s="5">
        <v>80</v>
      </c>
      <c r="N5" s="5">
        <v>6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46026</v>
      </c>
      <c r="C6" s="5">
        <v>30</v>
      </c>
      <c r="D6" s="5"/>
      <c r="E6" s="5"/>
      <c r="F6" s="5"/>
      <c r="G6" s="5"/>
      <c r="H6" s="5"/>
      <c r="I6" s="5"/>
      <c r="J6" s="5"/>
      <c r="K6" s="5"/>
      <c r="L6" s="5"/>
      <c r="M6" s="5">
        <v>13</v>
      </c>
      <c r="N6" s="5">
        <v>3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46026</v>
      </c>
      <c r="C7" s="5">
        <v>189</v>
      </c>
      <c r="D7" s="5"/>
      <c r="E7" s="5">
        <v>1</v>
      </c>
      <c r="F7" s="5">
        <v>1</v>
      </c>
      <c r="G7" s="5"/>
      <c r="H7" s="5"/>
      <c r="I7" s="5"/>
      <c r="J7" s="5"/>
      <c r="K7" s="5"/>
      <c r="L7" s="5"/>
      <c r="M7" s="5">
        <v>113</v>
      </c>
      <c r="N7" s="5">
        <v>12</v>
      </c>
      <c r="O7" s="5"/>
      <c r="P7" s="5">
        <v>7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46026</v>
      </c>
      <c r="C8" s="5">
        <v>59</v>
      </c>
      <c r="D8" s="5"/>
      <c r="E8" s="5">
        <v>1</v>
      </c>
      <c r="F8" s="5">
        <v>1</v>
      </c>
      <c r="G8" s="5"/>
      <c r="H8" s="5"/>
      <c r="I8" s="5"/>
      <c r="J8" s="5"/>
      <c r="K8" s="5"/>
      <c r="L8" s="5"/>
      <c r="M8" s="5">
        <v>58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361</v>
      </c>
      <c r="D16" s="3">
        <f t="shared" si="0"/>
        <v>1</v>
      </c>
      <c r="E16" s="3">
        <f t="shared" si="0"/>
        <v>2</v>
      </c>
      <c r="F16" s="3">
        <f t="shared" si="0"/>
        <v>4</v>
      </c>
      <c r="G16" s="3">
        <f t="shared" si="0"/>
        <v>1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264</v>
      </c>
      <c r="N16" s="3">
        <f t="shared" si="0"/>
        <v>32</v>
      </c>
      <c r="O16" s="3">
        <f t="shared" si="0"/>
        <v>0</v>
      </c>
      <c r="P16" s="3">
        <f t="shared" si="0"/>
        <v>9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56DD-B1FE-4631-845A-89E3BEE4FF04}">
  <dimension ref="A1:V16"/>
  <sheetViews>
    <sheetView tabSelected="1" workbookViewId="0">
      <selection activeCell="G26" sqref="G26"/>
    </sheetView>
  </sheetViews>
  <sheetFormatPr defaultRowHeight="14.3" x14ac:dyDescent="0.25"/>
  <cols>
    <col min="1" max="1" width="14" bestFit="1" customWidth="1"/>
    <col min="2" max="2" width="10.25" bestFit="1" customWidth="1"/>
  </cols>
  <sheetData>
    <row r="1" spans="1:22" x14ac:dyDescent="0.25">
      <c r="A1" s="442"/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4"/>
      <c r="M1" s="450" t="s">
        <v>20</v>
      </c>
      <c r="N1" s="450"/>
      <c r="O1" s="450"/>
      <c r="P1" s="450"/>
      <c r="Q1" s="450"/>
      <c r="R1" s="450"/>
      <c r="S1" s="450"/>
      <c r="T1" s="450"/>
      <c r="U1" s="450"/>
      <c r="V1" s="450"/>
    </row>
    <row r="2" spans="1:22" x14ac:dyDescent="0.25">
      <c r="A2" s="445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7"/>
      <c r="M2" s="448" t="s">
        <v>11</v>
      </c>
      <c r="N2" s="448"/>
      <c r="O2" s="448"/>
      <c r="P2" s="448"/>
      <c r="Q2" s="449" t="s">
        <v>12</v>
      </c>
      <c r="R2" s="449"/>
      <c r="S2" s="449"/>
      <c r="T2" s="449"/>
      <c r="U2" s="449"/>
      <c r="V2" s="449"/>
    </row>
    <row r="3" spans="1:22" x14ac:dyDescent="0.25">
      <c r="A3" s="1" t="s">
        <v>22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14</v>
      </c>
      <c r="S3" s="1" t="s">
        <v>15</v>
      </c>
      <c r="T3" s="1" t="s">
        <v>16</v>
      </c>
      <c r="U3" s="1" t="s">
        <v>18</v>
      </c>
      <c r="V3" s="1" t="s">
        <v>19</v>
      </c>
    </row>
    <row r="4" spans="1:22" ht="19.05" x14ac:dyDescent="0.35">
      <c r="A4" s="6" t="s">
        <v>28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9.05" x14ac:dyDescent="0.35">
      <c r="A5" s="6" t="s">
        <v>29</v>
      </c>
      <c r="B5" s="2">
        <v>46054</v>
      </c>
      <c r="C5" s="5">
        <v>47</v>
      </c>
      <c r="D5" s="5"/>
      <c r="E5" s="5">
        <v>2</v>
      </c>
      <c r="F5" s="5">
        <v>2</v>
      </c>
      <c r="G5" s="5">
        <v>2</v>
      </c>
      <c r="H5" s="5"/>
      <c r="I5" s="5"/>
      <c r="J5" s="5"/>
      <c r="K5" s="5"/>
      <c r="L5" s="5"/>
      <c r="M5" s="5">
        <v>73</v>
      </c>
      <c r="N5" s="5">
        <v>6</v>
      </c>
      <c r="O5" s="5"/>
      <c r="P5" s="5">
        <v>2</v>
      </c>
      <c r="Q5" s="5"/>
      <c r="R5" s="5">
        <v>3</v>
      </c>
      <c r="S5" s="5">
        <v>4</v>
      </c>
      <c r="T5" s="5"/>
      <c r="U5" s="5"/>
      <c r="V5" s="5">
        <v>2</v>
      </c>
    </row>
    <row r="6" spans="1:22" ht="19.05" x14ac:dyDescent="0.35">
      <c r="A6" s="6" t="s">
        <v>30</v>
      </c>
      <c r="B6" s="2">
        <v>46054</v>
      </c>
      <c r="C6" s="5">
        <v>22</v>
      </c>
      <c r="D6" s="5"/>
      <c r="E6" s="5"/>
      <c r="F6" s="5"/>
      <c r="G6" s="5"/>
      <c r="H6" s="5"/>
      <c r="I6" s="5"/>
      <c r="J6" s="5"/>
      <c r="K6" s="5"/>
      <c r="L6" s="5"/>
      <c r="M6" s="5">
        <v>3</v>
      </c>
      <c r="N6" s="5">
        <v>2</v>
      </c>
      <c r="O6" s="5"/>
      <c r="P6" s="5"/>
      <c r="Q6" s="5"/>
      <c r="R6" s="5"/>
      <c r="S6" s="5"/>
      <c r="T6" s="5"/>
      <c r="U6" s="5"/>
      <c r="V6" s="5"/>
    </row>
    <row r="7" spans="1:22" ht="19.05" x14ac:dyDescent="0.35">
      <c r="A7" s="6" t="s">
        <v>31</v>
      </c>
      <c r="B7" s="2">
        <v>46054</v>
      </c>
      <c r="C7" s="5">
        <v>57</v>
      </c>
      <c r="D7" s="5">
        <v>1</v>
      </c>
      <c r="E7" s="5">
        <v>1</v>
      </c>
      <c r="F7" s="5">
        <v>1</v>
      </c>
      <c r="G7" s="5"/>
      <c r="H7" s="5"/>
      <c r="I7" s="5"/>
      <c r="J7" s="5"/>
      <c r="K7" s="5"/>
      <c r="L7" s="5"/>
      <c r="M7" s="5">
        <v>87</v>
      </c>
      <c r="N7" s="5">
        <v>10</v>
      </c>
      <c r="O7" s="5"/>
      <c r="P7" s="5">
        <v>7</v>
      </c>
      <c r="Q7" s="5"/>
      <c r="R7" s="5">
        <v>1</v>
      </c>
      <c r="S7" s="5">
        <v>2</v>
      </c>
      <c r="T7" s="5"/>
      <c r="U7" s="5"/>
      <c r="V7" s="5">
        <v>1</v>
      </c>
    </row>
    <row r="8" spans="1:22" ht="19.05" x14ac:dyDescent="0.35">
      <c r="A8" s="6" t="s">
        <v>32</v>
      </c>
      <c r="B8" s="2">
        <v>46054</v>
      </c>
      <c r="C8" s="5">
        <v>30</v>
      </c>
      <c r="D8" s="5"/>
      <c r="E8" s="5"/>
      <c r="F8" s="5">
        <v>1</v>
      </c>
      <c r="G8" s="5"/>
      <c r="H8" s="5"/>
      <c r="I8" s="5"/>
      <c r="J8" s="5"/>
      <c r="K8" s="5"/>
      <c r="L8" s="5"/>
      <c r="M8" s="5">
        <v>50</v>
      </c>
      <c r="N8" s="5">
        <v>11</v>
      </c>
      <c r="O8" s="5"/>
      <c r="P8" s="5"/>
      <c r="Q8" s="5">
        <v>2</v>
      </c>
      <c r="R8" s="5"/>
      <c r="S8" s="5">
        <v>3</v>
      </c>
      <c r="T8" s="5"/>
      <c r="U8" s="5"/>
      <c r="V8" s="5">
        <v>1</v>
      </c>
    </row>
    <row r="9" spans="1:22" ht="19.05" x14ac:dyDescent="0.35">
      <c r="A9" s="6" t="s">
        <v>24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9.05" x14ac:dyDescent="0.35">
      <c r="A10" s="6" t="s">
        <v>23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9.05" x14ac:dyDescent="0.35">
      <c r="A11" s="6" t="s">
        <v>26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9.05" x14ac:dyDescent="0.35">
      <c r="A12" s="6" t="s">
        <v>25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9.05" x14ac:dyDescent="0.35">
      <c r="A13" s="6" t="s">
        <v>33</v>
      </c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9.05" x14ac:dyDescent="0.35">
      <c r="A14" s="6" t="s">
        <v>34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9.05" x14ac:dyDescent="0.35">
      <c r="A15" s="6" t="s">
        <v>35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.3" x14ac:dyDescent="0.3">
      <c r="A16" s="2" t="s">
        <v>27</v>
      </c>
      <c r="B16" s="2"/>
      <c r="C16" s="3">
        <f t="shared" ref="C16:V16" si="0">SUM(C4:C15)</f>
        <v>156</v>
      </c>
      <c r="D16" s="3">
        <f t="shared" si="0"/>
        <v>1</v>
      </c>
      <c r="E16" s="3">
        <f t="shared" si="0"/>
        <v>3</v>
      </c>
      <c r="F16" s="3">
        <f t="shared" si="0"/>
        <v>4</v>
      </c>
      <c r="G16" s="3">
        <f t="shared" si="0"/>
        <v>2</v>
      </c>
      <c r="H16" s="3">
        <f t="shared" si="0"/>
        <v>0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213</v>
      </c>
      <c r="N16" s="3">
        <f t="shared" si="0"/>
        <v>29</v>
      </c>
      <c r="O16" s="3">
        <f t="shared" si="0"/>
        <v>0</v>
      </c>
      <c r="P16" s="3">
        <f t="shared" si="0"/>
        <v>9</v>
      </c>
      <c r="Q16" s="3">
        <f t="shared" si="0"/>
        <v>2</v>
      </c>
      <c r="R16" s="3">
        <f t="shared" si="0"/>
        <v>4</v>
      </c>
      <c r="S16" s="3">
        <f t="shared" si="0"/>
        <v>9</v>
      </c>
      <c r="T16" s="3">
        <f t="shared" si="0"/>
        <v>0</v>
      </c>
      <c r="U16" s="3">
        <f t="shared" si="0"/>
        <v>0</v>
      </c>
      <c r="V16" s="3">
        <f t="shared" si="0"/>
        <v>4</v>
      </c>
    </row>
  </sheetData>
  <mergeCells count="3">
    <mergeCell ref="M1:V1"/>
    <mergeCell ref="M2:P2"/>
    <mergeCell ref="Q2:V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[KİŞİYE ÖZEL / PERSONAL]</attrValue>
  <customPropName>Classification</customPropName>
  <timestamp> 5.09.2023 14:54:27</timestamp>
  <userName>AKSADOM\31292</userName>
  <computerName>DGZ17N5031292.aksa.com</computerName>
  <guid>{e438e5c0-a44f-4527-849d-4019f249a94a}</guid>
</GTBClassification>
</file>

<file path=customXml/itemProps1.xml><?xml version="1.0" encoding="utf-8"?>
<ds:datastoreItem xmlns:ds="http://schemas.openxmlformats.org/officeDocument/2006/customXml" ds:itemID="{CA14C591-91EF-46FE-AD8A-1BC1E248E5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101</vt:i4>
      </vt:variant>
    </vt:vector>
  </HeadingPairs>
  <TitlesOfParts>
    <vt:vector size="101" baseType="lpstr">
      <vt:lpstr>18.12.2023</vt:lpstr>
      <vt:lpstr>25.12.2023</vt:lpstr>
      <vt:lpstr>02.01.2024</vt:lpstr>
      <vt:lpstr>08.01.2024</vt:lpstr>
      <vt:lpstr>15.01.2024</vt:lpstr>
      <vt:lpstr>22.01.2024</vt:lpstr>
      <vt:lpstr>29.01.2024</vt:lpstr>
      <vt:lpstr>05.02.2024</vt:lpstr>
      <vt:lpstr>12.02.2024</vt:lpstr>
      <vt:lpstr>19.02.2024</vt:lpstr>
      <vt:lpstr>26.02.2024</vt:lpstr>
      <vt:lpstr>04.03.2024</vt:lpstr>
      <vt:lpstr>11.03.2024</vt:lpstr>
      <vt:lpstr>18.03.2024</vt:lpstr>
      <vt:lpstr>25.03.2024</vt:lpstr>
      <vt:lpstr>01.04.2024</vt:lpstr>
      <vt:lpstr>08.04.2024</vt:lpstr>
      <vt:lpstr>15.04.2024</vt:lpstr>
      <vt:lpstr>22.04.2024</vt:lpstr>
      <vt:lpstr>29.04.2024</vt:lpstr>
      <vt:lpstr>06.05.2024</vt:lpstr>
      <vt:lpstr>13.05.2024</vt:lpstr>
      <vt:lpstr>20.05.2024</vt:lpstr>
      <vt:lpstr>27.05.2024</vt:lpstr>
      <vt:lpstr>03.06.2024</vt:lpstr>
      <vt:lpstr>10.06.2024</vt:lpstr>
      <vt:lpstr>24.06.2024</vt:lpstr>
      <vt:lpstr>01.07.2024</vt:lpstr>
      <vt:lpstr>08.07.2024</vt:lpstr>
      <vt:lpstr>16.07.2024</vt:lpstr>
      <vt:lpstr>22.07.2024</vt:lpstr>
      <vt:lpstr>29.07.2024</vt:lpstr>
      <vt:lpstr>05.08.2024</vt:lpstr>
      <vt:lpstr>12.08.2024</vt:lpstr>
      <vt:lpstr>19.08.2024</vt:lpstr>
      <vt:lpstr>26.08.2024</vt:lpstr>
      <vt:lpstr>23.09.2024</vt:lpstr>
      <vt:lpstr>30.09.2024</vt:lpstr>
      <vt:lpstr>07.10.2024</vt:lpstr>
      <vt:lpstr>14.10.2024</vt:lpstr>
      <vt:lpstr>21.10.2024</vt:lpstr>
      <vt:lpstr>28.10.2024</vt:lpstr>
      <vt:lpstr>04.11.2024</vt:lpstr>
      <vt:lpstr>11.11.2024</vt:lpstr>
      <vt:lpstr>18.11.2024</vt:lpstr>
      <vt:lpstr>25.11.2024</vt:lpstr>
      <vt:lpstr>02.12.2024</vt:lpstr>
      <vt:lpstr>30.12.2024</vt:lpstr>
      <vt:lpstr>06.01.2025</vt:lpstr>
      <vt:lpstr>13.01.2025</vt:lpstr>
      <vt:lpstr>20.01.2025</vt:lpstr>
      <vt:lpstr>27.01.2025</vt:lpstr>
      <vt:lpstr>03.02.2025</vt:lpstr>
      <vt:lpstr>10.02.2025</vt:lpstr>
      <vt:lpstr>17.02.2025</vt:lpstr>
      <vt:lpstr>24.02.2025</vt:lpstr>
      <vt:lpstr>03.03.2025</vt:lpstr>
      <vt:lpstr>10.03.2025</vt:lpstr>
      <vt:lpstr>17.03.2025</vt:lpstr>
      <vt:lpstr>24.03.2025</vt:lpstr>
      <vt:lpstr>02.04.2025</vt:lpstr>
      <vt:lpstr>07.04.2025</vt:lpstr>
      <vt:lpstr>14.04.2025</vt:lpstr>
      <vt:lpstr>21.04.2025</vt:lpstr>
      <vt:lpstr>28.04.2025</vt:lpstr>
      <vt:lpstr>05.05.2025</vt:lpstr>
      <vt:lpstr>12.05.2025</vt:lpstr>
      <vt:lpstr>19.05.2025</vt:lpstr>
      <vt:lpstr>26.05.2025</vt:lpstr>
      <vt:lpstr>01.06.2025</vt:lpstr>
      <vt:lpstr>09.06.2025</vt:lpstr>
      <vt:lpstr>16.06.2025</vt:lpstr>
      <vt:lpstr>23.06.2025</vt:lpstr>
      <vt:lpstr>30.06.2025</vt:lpstr>
      <vt:lpstr>07.07.2025</vt:lpstr>
      <vt:lpstr>14.07.2025</vt:lpstr>
      <vt:lpstr>21.07.2025</vt:lpstr>
      <vt:lpstr>27.07.2025</vt:lpstr>
      <vt:lpstr>04.08.2025</vt:lpstr>
      <vt:lpstr>11.08.2025</vt:lpstr>
      <vt:lpstr>18.08.2025</vt:lpstr>
      <vt:lpstr>01.09.2025</vt:lpstr>
      <vt:lpstr>08.09.2025</vt:lpstr>
      <vt:lpstr>15.09.2025</vt:lpstr>
      <vt:lpstr>22.09.2025</vt:lpstr>
      <vt:lpstr>29.09.2025</vt:lpstr>
      <vt:lpstr>06.10.2025</vt:lpstr>
      <vt:lpstr>13.10.2025</vt:lpstr>
      <vt:lpstr>20.10.2025</vt:lpstr>
      <vt:lpstr>27.10.2025</vt:lpstr>
      <vt:lpstr>03.11.2025</vt:lpstr>
      <vt:lpstr>10.11.2025</vt:lpstr>
      <vt:lpstr>17.11.2025</vt:lpstr>
      <vt:lpstr>24.11.2025</vt:lpstr>
      <vt:lpstr>01.12.2025</vt:lpstr>
      <vt:lpstr>08.12.2025</vt:lpstr>
      <vt:lpstr>15.12.2025</vt:lpstr>
      <vt:lpstr>22.12.2025</vt:lpstr>
      <vt:lpstr>29.12.2025</vt:lpstr>
      <vt:lpstr>04.01.2026</vt:lpstr>
      <vt:lpstr>01.02.2026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ASLAN</dc:creator>
  <cp:keywords>ClassificationData:&lt;Classification:[KİŞİYE ÖZEL/PERSONAL]&gt;</cp:keywords>
  <cp:lastModifiedBy>CEM KARAGOZ</cp:lastModifiedBy>
  <dcterms:created xsi:type="dcterms:W3CDTF">2015-06-05T18:19:34Z</dcterms:created>
  <dcterms:modified xsi:type="dcterms:W3CDTF">2026-02-01T10:57:33Z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[KİŞİYE ÖZEL / PERSONAL]</vt:lpwstr>
  </property>
  <property fmtid="{D5CDD505-2E9C-101B-9397-08002B2CF9AE}" pid="3" name="ClassifiedBy">
    <vt:lpwstr>AKSADOM\31292</vt:lpwstr>
  </property>
  <property fmtid="{D5CDD505-2E9C-101B-9397-08002B2CF9AE}" pid="4" name="ClassificationHost">
    <vt:lpwstr>DGZ17N5031292.aksa.com</vt:lpwstr>
  </property>
  <property fmtid="{D5CDD505-2E9C-101B-9397-08002B2CF9AE}" pid="5" name="ClassificationDate">
    <vt:lpwstr> 5.09.2023 14:54:27</vt:lpwstr>
  </property>
  <property fmtid="{D5CDD505-2E9C-101B-9397-08002B2CF9AE}" pid="6" name="ClassificationGUID">
    <vt:lpwstr>{e438e5c0-a44f-4527-849d-4019f249a94a}</vt:lpwstr>
  </property>
  <property fmtid="{D5CDD505-2E9C-101B-9397-08002B2CF9AE}" pid="7" name="CustomUiType">
    <vt:lpwstr>2</vt:lpwstr>
  </property>
</Properties>
</file>